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Hierarchy" sheetId="1" state="visible" r:id="rId3"/>
    <sheet name="2 Shifts &amp; People" sheetId="2" state="visible" r:id="rId4"/>
    <sheet name="3 Assets" sheetId="3" state="visible" r:id="rId5"/>
    <sheet name="4 Parameters" sheetId="4" state="visible" r:id="rId6"/>
    <sheet name="5 Machine States" sheetId="5" state="visible" r:id="rId7"/>
    <sheet name="6 Downtime Reasons" sheetId="6" state="visible" r:id="rId8"/>
    <sheet name="7 Quality Loss Reasons" sheetId="7" state="visible" r:id="rId9"/>
    <sheet name="8 Logbook Forms" sheetId="8" state="visible" r:id="rId10"/>
    <sheet name="9 Form Fields" sheetId="9" state="visible" r:id="rId11"/>
    <sheet name="10 Form Rules" sheetId="10" state="visible" r:id="rId12"/>
    <sheet name="11 Sample Filled Form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<sst xmlns="http://schemas.openxmlformats.org/spreadsheetml/2006/main" count="7540" uniqueCount="1478">
  <si>
    <t xml:space="preserve">Step 1.1 - Plant hierarchy (ISA-95)</t>
  </si>
  <si>
    <t xml:space="preserve">Line L1 = Kratom / Mitragynine (MIT). Line L2 = Bulk Cannabinoids. Timezone America/New_York.</t>
  </si>
  <si>
    <t xml:space="preserve">Site</t>
  </si>
  <si>
    <t xml:space="preserve">Area</t>
  </si>
  <si>
    <t xml:space="preserve">Line</t>
  </si>
  <si>
    <t xml:space="preserve">Contains</t>
  </si>
  <si>
    <t xml:space="preserve">Naming source</t>
  </si>
  <si>
    <t xml:space="preserve">OBX Roxboro, NC</t>
  </si>
  <si>
    <t xml:space="preserve">OUTDOOR PAD</t>
  </si>
  <si>
    <t xml:space="preserve">L1</t>
  </si>
  <si>
    <t xml:space="preserve">L1 extraction tanks (Beckhoff PLC + HMI)</t>
  </si>
  <si>
    <t xml:space="preserve">OBX</t>
  </si>
  <si>
    <t xml:space="preserve">KRATOM PROCESS ROOM</t>
  </si>
  <si>
    <t xml:space="preserve">LLE, solvent recovery, crystallization, filter-dryer, salt</t>
  </si>
  <si>
    <t xml:space="preserve">Demo naming</t>
  </si>
  <si>
    <t xml:space="preserve">BULK SUITE</t>
  </si>
  <si>
    <t xml:space="preserve">L2</t>
  </si>
  <si>
    <t xml:space="preserve">1M/2M WFE, isolation reactors, D8 reactors, filtration, vacuum ovens</t>
  </si>
  <si>
    <t xml:space="preserve">QC LAB</t>
  </si>
  <si>
    <t xml:space="preserve">L1 + L2</t>
  </si>
  <si>
    <t xml:space="preserve">In-house HPLC (QC-HPLC-01); external COAs</t>
  </si>
  <si>
    <t xml:space="preserve">Step 1.2 - Shifts &amp; demo crew</t>
  </si>
  <si>
    <t xml:space="preserve">2-2-3 rotation, 15 min handover at each shift change. All names are fictional demo personas.</t>
  </si>
  <si>
    <t xml:space="preserve">Shift</t>
  </si>
  <si>
    <t xml:space="preserve">Hours</t>
  </si>
  <si>
    <t xml:space="preserve">Role</t>
  </si>
  <si>
    <t xml:space="preserve">Name (fictional)</t>
  </si>
  <si>
    <t xml:space="preserve">A (Day)</t>
  </si>
  <si>
    <t xml:space="preserve">06:00-18:00 ET</t>
  </si>
  <si>
    <t xml:space="preserve">Operator</t>
  </si>
  <si>
    <t xml:space="preserve">J. Alvarez</t>
  </si>
  <si>
    <t xml:space="preserve">K. Morgan</t>
  </si>
  <si>
    <t xml:space="preserve">D. Pritchard</t>
  </si>
  <si>
    <t xml:space="preserve">Shift Supervisor</t>
  </si>
  <si>
    <t xml:space="preserve">R. Ellis</t>
  </si>
  <si>
    <t xml:space="preserve">B (Night)</t>
  </si>
  <si>
    <t xml:space="preserve">18:00-06:00 ET</t>
  </si>
  <si>
    <t xml:space="preserve">T. Nguyen</t>
  </si>
  <si>
    <t xml:space="preserve">S. Brooks</t>
  </si>
  <si>
    <t xml:space="preserve">M. Hale</t>
  </si>
  <si>
    <t xml:space="preserve">L. Carter</t>
  </si>
  <si>
    <t xml:space="preserve">All</t>
  </si>
  <si>
    <t xml:space="preserve">-</t>
  </si>
  <si>
    <t xml:space="preserve">QA Lead</t>
  </si>
  <si>
    <t xml:space="preserve">Dr. P. Shah</t>
  </si>
  <si>
    <t xml:space="preserve">Production Manager</t>
  </si>
  <si>
    <t xml:space="preserve">A. Whitfield</t>
  </si>
  <si>
    <t xml:space="preserve">Plant Head</t>
  </si>
  <si>
    <t xml:space="preserve">C. Donnelly</t>
  </si>
  <si>
    <t xml:space="preserve">Step 1.3 - Asset register (23 assets)</t>
  </si>
  <si>
    <t xml:space="preserve">Kind drives OEE maths: batch/cyclic = phase-ideal time; continuous = rated rate; drying = cycle time. Target OEE = A x P x Q.</t>
  </si>
  <si>
    <t xml:space="preserve">Asset ID</t>
  </si>
  <si>
    <t xml:space="preserve">Name</t>
  </si>
  <si>
    <t xml:space="preserve">Stage</t>
  </si>
  <si>
    <t xml:space="preserve">Kind</t>
  </si>
  <si>
    <t xml:space="preserve">Constraint</t>
  </si>
  <si>
    <t xml:space="preserve">Product</t>
  </si>
  <si>
    <t xml:space="preserve">Phases (ISA-88)</t>
  </si>
  <si>
    <t xml:space="preserve">Batch size kg / Rate</t>
  </si>
  <si>
    <t xml:space="preserve">Ideal cycle h</t>
  </si>
  <si>
    <t xml:space="preserve">Record / Form</t>
  </si>
  <si>
    <t xml:space="preserve">Target A</t>
  </si>
  <si>
    <t xml:space="preserve">Target P</t>
  </si>
  <si>
    <t xml:space="preserve">Target Q</t>
  </si>
  <si>
    <t xml:space="preserve">Target OEE</t>
  </si>
  <si>
    <t xml:space="preserve">L1-EXT-T01</t>
  </si>
  <si>
    <t xml:space="preserve">Extraction Tank T01</t>
  </si>
  <si>
    <t xml:space="preserve">Outdoor Pad</t>
  </si>
  <si>
    <t xml:space="preserve">Pretreatment / extraction</t>
  </si>
  <si>
    <t xml:space="preserve">cyclic</t>
  </si>
  <si>
    <t xml:space="preserve">Kratom Extract Liquor</t>
  </si>
  <si>
    <t xml:space="preserve">FILL &gt; SOAK &gt; RECIRC &gt; DRAIN</t>
  </si>
  <si>
    <t xml:space="preserve">950-1050</t>
  </si>
  <si>
    <t xml:space="preserve">FOR-KRT-101</t>
  </si>
  <si>
    <t xml:space="preserve">L1-EXT-T02</t>
  </si>
  <si>
    <t xml:space="preserve">Extraction Tank T02</t>
  </si>
  <si>
    <t xml:space="preserve">L1-EXT-T03</t>
  </si>
  <si>
    <t xml:space="preserve">Extraction Tank T03</t>
  </si>
  <si>
    <t xml:space="preserve">L1-EXT-T04</t>
  </si>
  <si>
    <t xml:space="preserve">Extraction Tank T04</t>
  </si>
  <si>
    <t xml:space="preserve">L1-LLE-01</t>
  </si>
  <si>
    <t xml:space="preserve">LLE Skid</t>
  </si>
  <si>
    <t xml:space="preserve">Kratom Process Room</t>
  </si>
  <si>
    <t xml:space="preserve">continuous</t>
  </si>
  <si>
    <t xml:space="preserve">MIT Organic Phase</t>
  </si>
  <si>
    <t xml:space="preserve">STARTUP &gt; CONTACT &gt; FLUSH</t>
  </si>
  <si>
    <t xml:space="preserve">1320 L/h</t>
  </si>
  <si>
    <t xml:space="preserve">FOR-KRT-102</t>
  </si>
  <si>
    <t xml:space="preserve">L1-SRU-01</t>
  </si>
  <si>
    <t xml:space="preserve">Heptane Solvent Recovery</t>
  </si>
  <si>
    <t xml:space="preserve">Recovered Heptane</t>
  </si>
  <si>
    <t xml:space="preserve">STARTUP &gt; RECOVERY &gt; SHUTDOWN</t>
  </si>
  <si>
    <t xml:space="preserve">180 L/h</t>
  </si>
  <si>
    <t xml:space="preserve">L1-CRY-01</t>
  </si>
  <si>
    <t xml:space="preserve">Crystallizer 01</t>
  </si>
  <si>
    <t xml:space="preserve">Crystallization batch</t>
  </si>
  <si>
    <t xml:space="preserve">batch</t>
  </si>
  <si>
    <t xml:space="preserve">Yes</t>
  </si>
  <si>
    <t xml:space="preserve">MIT Freebase</t>
  </si>
  <si>
    <t xml:space="preserve">CHARGE &gt; DOSE &gt; COOL &gt; HOLD &gt; DISCHARGE &gt; CLEAN</t>
  </si>
  <si>
    <t xml:space="preserve">28-36</t>
  </si>
  <si>
    <t xml:space="preserve">FOR-KRT-103</t>
  </si>
  <si>
    <t xml:space="preserve">L1-CRY-02</t>
  </si>
  <si>
    <t xml:space="preserve">Crystallizer 02</t>
  </si>
  <si>
    <t xml:space="preserve">L1-FIL-01</t>
  </si>
  <si>
    <t xml:space="preserve">Nutsche Filter-Dryer</t>
  </si>
  <si>
    <t xml:space="preserve">drying</t>
  </si>
  <si>
    <t xml:space="preserve">MIT Freebase (wet cake)</t>
  </si>
  <si>
    <t xml:space="preserve">LOAD &gt; FILTER &gt; WASH &gt; DRY &gt; UNLOAD</t>
  </si>
  <si>
    <t xml:space="preserve">L1-SLT-01</t>
  </si>
  <si>
    <t xml:space="preserve">Acetate Salt Reactor</t>
  </si>
  <si>
    <t xml:space="preserve">Acetate salt run</t>
  </si>
  <si>
    <t xml:space="preserve">MIT Acetate</t>
  </si>
  <si>
    <t xml:space="preserve">CHARGE &gt; DISSOLVE &gt; ACID ADD &gt; REACT &gt; CRYSTALLIZE &gt; DISCHARGE &gt; CLEAN</t>
  </si>
  <si>
    <t xml:space="preserve">30-45</t>
  </si>
  <si>
    <t xml:space="preserve">FOR-KRT-105</t>
  </si>
  <si>
    <t xml:space="preserve">L1-SDR-01</t>
  </si>
  <si>
    <t xml:space="preserve">Salt Vacuum Dryer</t>
  </si>
  <si>
    <t xml:space="preserve">LOAD &gt; DRY &gt; UNLOAD</t>
  </si>
  <si>
    <t xml:space="preserve">L2-WFE-1M</t>
  </si>
  <si>
    <t xml:space="preserve">1M WFE Deterp</t>
  </si>
  <si>
    <t xml:space="preserve">Bulk Suite</t>
  </si>
  <si>
    <t xml:space="preserve">1M WFE deterp</t>
  </si>
  <si>
    <t xml:space="preserve">Deterped Crude</t>
  </si>
  <si>
    <t xml:space="preserve">WARM-UP &gt; VAC PULL-DOWN &gt; STEADY FEED &gt; SHUTDOWN &gt; CLEAN</t>
  </si>
  <si>
    <t xml:space="preserve">6 kg/h</t>
  </si>
  <si>
    <t xml:space="preserve">FOR-BIP-009</t>
  </si>
  <si>
    <t xml:space="preserve">L2-WFE-2M</t>
  </si>
  <si>
    <t xml:space="preserve">2M WFE Distillation / FSD</t>
  </si>
  <si>
    <t xml:space="preserve">2M WFE distillation / FSD</t>
  </si>
  <si>
    <t xml:space="preserve">CBD Distillate</t>
  </si>
  <si>
    <t xml:space="preserve">4 kg/h</t>
  </si>
  <si>
    <t xml:space="preserve">FOR-BIP-010</t>
  </si>
  <si>
    <t xml:space="preserve">L2-ISO-A</t>
  </si>
  <si>
    <t xml:space="preserve">Isolation Reactor ISO-A</t>
  </si>
  <si>
    <t xml:space="preserve">CBD isolation</t>
  </si>
  <si>
    <t xml:space="preserve">CBD Isolate</t>
  </si>
  <si>
    <t xml:space="preserve">CHARGE &gt; DISSOLVE &gt; CONTROLLED COOL &gt; CRASH &gt; HOLD &gt; TRANSFER/FILTER &gt; RINSE &gt; CLEAN</t>
  </si>
  <si>
    <t xml:space="preserve">30-40</t>
  </si>
  <si>
    <t xml:space="preserve">FOR-BIP-004</t>
  </si>
  <si>
    <t xml:space="preserve">L2-ISO-B</t>
  </si>
  <si>
    <t xml:space="preserve">Isolation Reactor ISO-B</t>
  </si>
  <si>
    <t xml:space="preserve">L2-ISO-C</t>
  </si>
  <si>
    <t xml:space="preserve">Isolation Reactor ISO-C</t>
  </si>
  <si>
    <t xml:space="preserve">L2-ISO-D</t>
  </si>
  <si>
    <t xml:space="preserve">Isolation Reactor ISO-D</t>
  </si>
  <si>
    <t xml:space="preserve">L2-ISO-E</t>
  </si>
  <si>
    <t xml:space="preserve">Isolation Reactor ISO-E</t>
  </si>
  <si>
    <t xml:space="preserve">L2-RXN-1</t>
  </si>
  <si>
    <t xml:space="preserve">Reactor RXN-1</t>
  </si>
  <si>
    <t xml:space="preserve">Derivative reaction</t>
  </si>
  <si>
    <t xml:space="preserve">Delta-8 Crude</t>
  </si>
  <si>
    <t xml:space="preserve">CHARGE &gt; HEAT &gt; ACID IN &gt; EXOTHERM &gt; COOK &gt; WASH 1 &gt; WASH 2 &gt; WASH 3 &gt; DRAIN &gt; CLEAN</t>
  </si>
  <si>
    <t xml:space="preserve">18-26</t>
  </si>
  <si>
    <t xml:space="preserve">FOR-BIP-003</t>
  </si>
  <si>
    <t xml:space="preserve">L2-RXN-3</t>
  </si>
  <si>
    <t xml:space="preserve">Reactor RXN-3</t>
  </si>
  <si>
    <t xml:space="preserve">L2-BUF-01</t>
  </si>
  <si>
    <t xml:space="preserve">Buchner Filtration Station</t>
  </si>
  <si>
    <t xml:space="preserve">Wash / final purification / drying</t>
  </si>
  <si>
    <t xml:space="preserve">CBD Isolate (wet)</t>
  </si>
  <si>
    <t xml:space="preserve">LOAD &gt; FILTER &gt; RINSE &gt; UNLOAD</t>
  </si>
  <si>
    <t xml:space="preserve">18-30</t>
  </si>
  <si>
    <t xml:space="preserve">L2-VO-01</t>
  </si>
  <si>
    <t xml:space="preserve">Vacuum Oven VO-01</t>
  </si>
  <si>
    <t xml:space="preserve">L2-VO-02</t>
  </si>
  <si>
    <t xml:space="preserve">Vacuum Oven VO-02</t>
  </si>
  <si>
    <t xml:space="preserve">Step 1.4 - Process parameter / tag register (79 tags)</t>
  </si>
  <si>
    <t xml:space="preserve">Data state: DS1 structured digital | DS2 tablet entry | DS3 measured not retained | DS4 not measured | DSP paper BPR. Only OBX SOP limits are real (-18 degC crash, 50-55 / 85-95 degC D8); all others flagged Demo limit.</t>
  </si>
  <si>
    <t xml:space="preserve">Tag</t>
  </si>
  <si>
    <t xml:space="preserve">Parameter</t>
  </si>
  <si>
    <t xml:space="preserve">Unit</t>
  </si>
  <si>
    <t xml:space="preserve">Source badge</t>
  </si>
  <si>
    <t xml:space="preserve">Data state today</t>
  </si>
  <si>
    <t xml:space="preserve">Sample (s)</t>
  </si>
  <si>
    <t xml:space="preserve">Target</t>
  </si>
  <si>
    <t xml:space="preserve">LSL</t>
  </si>
  <si>
    <t xml:space="preserve">USL</t>
  </si>
  <si>
    <t xml:space="preserve">SPC chart</t>
  </si>
  <si>
    <t xml:space="preserve">Golden tunnel</t>
  </si>
  <si>
    <t xml:space="preserve">Critical</t>
  </si>
  <si>
    <t xml:space="preserve">Limit origin</t>
  </si>
  <si>
    <t xml:space="preserve">EVAP_PV</t>
  </si>
  <si>
    <t xml:space="preserve">Evaporator temp (actual)</t>
  </si>
  <si>
    <t xml:space="preserve">degC</t>
  </si>
  <si>
    <t xml:space="preserve">Controller</t>
  </si>
  <si>
    <t xml:space="preserve">DSP</t>
  </si>
  <si>
    <t xml:space="preserve">xbar-r</t>
  </si>
  <si>
    <t xml:space="preserve">Demo limit</t>
  </si>
  <si>
    <t xml:space="preserve">VAC_PV</t>
  </si>
  <si>
    <t xml:space="preserve">Vacuum</t>
  </si>
  <si>
    <t xml:space="preserve">mbar</t>
  </si>
  <si>
    <t xml:space="preserve">FEED_PV</t>
  </si>
  <si>
    <t xml:space="preserve">Feed rate (actual)</t>
  </si>
  <si>
    <t xml:space="preserve">kg/h</t>
  </si>
  <si>
    <t xml:space="preserve">FEED_T</t>
  </si>
  <si>
    <t xml:space="preserve">Feed temperature</t>
  </si>
  <si>
    <t xml:space="preserve">COND_PV</t>
  </si>
  <si>
    <t xml:space="preserve">Condenser temp (actual)</t>
  </si>
  <si>
    <t xml:space="preserve">WIPER_PV</t>
  </si>
  <si>
    <t xml:space="preserve">Wiper speed (actual)</t>
  </si>
  <si>
    <t xml:space="preserve">rpm</t>
  </si>
  <si>
    <t xml:space="preserve">CHL_PV</t>
  </si>
  <si>
    <t xml:space="preserve">Chiller / cold trap (actual)</t>
  </si>
  <si>
    <t xml:space="preserve">T_INT</t>
  </si>
  <si>
    <t xml:space="preserve">Internal product temp</t>
  </si>
  <si>
    <t xml:space="preserve">DS3</t>
  </si>
  <si>
    <t xml:space="preserve">none</t>
  </si>
  <si>
    <t xml:space="preserve">T_JKT</t>
  </si>
  <si>
    <t xml:space="preserve">Jacket temp</t>
  </si>
  <si>
    <t xml:space="preserve">AGIT</t>
  </si>
  <si>
    <t xml:space="preserve">Agitator</t>
  </si>
  <si>
    <t xml:space="preserve">CRASH_END_T</t>
  </si>
  <si>
    <t xml:space="preserve">Crash endpoint internal temp</t>
  </si>
  <si>
    <t xml:space="preserve">Calculated</t>
  </si>
  <si>
    <t xml:space="preserve">i-mr</t>
  </si>
  <si>
    <t xml:space="preserve">OBX SOP</t>
  </si>
  <si>
    <t xml:space="preserve">Reaction temperature</t>
  </si>
  <si>
    <t xml:space="preserve">PRE_ACID_T</t>
  </si>
  <si>
    <t xml:space="preserve">Temp at acid-in</t>
  </si>
  <si>
    <t xml:space="preserve">EXO_PEAK_T</t>
  </si>
  <si>
    <t xml:space="preserve">Exotherm peak temp</t>
  </si>
  <si>
    <t xml:space="preserve">COOK_T</t>
  </si>
  <si>
    <t xml:space="preserve">Cook temperature</t>
  </si>
  <si>
    <t xml:space="preserve">WASH3_PH</t>
  </si>
  <si>
    <t xml:space="preserve">Final wash aqueous pH</t>
  </si>
  <si>
    <t xml:space="preserve">pH</t>
  </si>
  <si>
    <t xml:space="preserve">Manual</t>
  </si>
  <si>
    <t xml:space="preserve">PH</t>
  </si>
  <si>
    <t xml:space="preserve">Batch pH</t>
  </si>
  <si>
    <t xml:space="preserve">DOSE_RATE</t>
  </si>
  <si>
    <t xml:space="preserve">Base dosing rate</t>
  </si>
  <si>
    <t xml:space="preserve">L/h</t>
  </si>
  <si>
    <t xml:space="preserve">FINAL_PH</t>
  </si>
  <si>
    <t xml:space="preserve">Final pH (endpoint)</t>
  </si>
  <si>
    <t xml:space="preserve">DS2</t>
  </si>
  <si>
    <t xml:space="preserve">HOLD_H</t>
  </si>
  <si>
    <t xml:space="preserve">Hold time</t>
  </si>
  <si>
    <t xml:space="preserve">h</t>
  </si>
  <si>
    <t xml:space="preserve">LVL</t>
  </si>
  <si>
    <t xml:space="preserve">Tank level</t>
  </si>
  <si>
    <t xml:space="preserve">%</t>
  </si>
  <si>
    <t xml:space="preserve">PLC</t>
  </si>
  <si>
    <t xml:space="preserve">TEMP</t>
  </si>
  <si>
    <t xml:space="preserve">Liquor temperature</t>
  </si>
  <si>
    <t xml:space="preserve">Liquor pH</t>
  </si>
  <si>
    <t xml:space="preserve">RECIRC_FLOW</t>
  </si>
  <si>
    <t xml:space="preserve">Recirculation flow</t>
  </si>
  <si>
    <t xml:space="preserve">L/min</t>
  </si>
  <si>
    <t xml:space="preserve">ORG_FLOW</t>
  </si>
  <si>
    <t xml:space="preserve">Organic (heptane) flow</t>
  </si>
  <si>
    <t xml:space="preserve">DS4</t>
  </si>
  <si>
    <t xml:space="preserve">AQ_FLOW</t>
  </si>
  <si>
    <t xml:space="preserve">Aqueous flow</t>
  </si>
  <si>
    <t xml:space="preserve">AQ_PH</t>
  </si>
  <si>
    <t xml:space="preserve">Aqueous pH</t>
  </si>
  <si>
    <t xml:space="preserve">REB_TEMP</t>
  </si>
  <si>
    <t xml:space="preserve">Reboiler temperature</t>
  </si>
  <si>
    <t xml:space="preserve">COND_OUT</t>
  </si>
  <si>
    <t xml:space="preserve">Condenser outlet temp</t>
  </si>
  <si>
    <t xml:space="preserve">REC_FLOW</t>
  </si>
  <si>
    <t xml:space="preserve">Recovered heptane flow</t>
  </si>
  <si>
    <t xml:space="preserve">Oven temperature</t>
  </si>
  <si>
    <t xml:space="preserve">Step 1.5 - Machine states (8)</t>
  </si>
  <si>
    <t xml:space="preserve">IDLE counts as availability loss when inside planned time. DISC is excluded from OEE and back-filled from edge buffer.</t>
  </si>
  <si>
    <t xml:space="preserve">State</t>
  </si>
  <si>
    <t xml:space="preserve">Code</t>
  </si>
  <si>
    <t xml:space="preserve">Colour</t>
  </si>
  <si>
    <t xml:space="preserve">OEE treatment</t>
  </si>
  <si>
    <t xml:space="preserve">Trigger</t>
  </si>
  <si>
    <t xml:space="preserve">Production / Running</t>
  </si>
  <si>
    <t xml:space="preserve">RUN</t>
  </si>
  <si>
    <t xml:space="preserve">green</t>
  </si>
  <si>
    <t xml:space="preserve">Asset running a scheduled batch/phase</t>
  </si>
  <si>
    <t xml:space="preserve">Micro-stop</t>
  </si>
  <si>
    <t xml:space="preserve">MICRO</t>
  </si>
  <si>
    <t xml:space="preserve">red tick</t>
  </si>
  <si>
    <t xml:space="preserve">Unplanned</t>
  </si>
  <si>
    <t xml:space="preserve">Stop &lt; threshold (WFE only, 5 min)</t>
  </si>
  <si>
    <t xml:space="preserve">Downtime (unplanned)</t>
  </si>
  <si>
    <t xml:space="preserve">DOWN</t>
  </si>
  <si>
    <t xml:space="preserve">red</t>
  </si>
  <si>
    <t xml:space="preserve">Stop &gt;= threshold, or process interlock</t>
  </si>
  <si>
    <t xml:space="preserve">Planned stop</t>
  </si>
  <si>
    <t xml:space="preserve">PLAN</t>
  </si>
  <si>
    <t xml:space="preserve">purple</t>
  </si>
  <si>
    <t xml:space="preserve">Planned</t>
  </si>
  <si>
    <t xml:space="preserve">Changeover, cleaning, PM, CIP, solvent swap</t>
  </si>
  <si>
    <t xml:space="preserve">Idle / Waiting</t>
  </si>
  <si>
    <t xml:space="preserve">IDLE</t>
  </si>
  <si>
    <t xml:space="preserve">amber</t>
  </si>
  <si>
    <t xml:space="preserve">Unplanned*</t>
  </si>
  <si>
    <t xml:space="preserve">Ready but no material / no operator / waiting QA</t>
  </si>
  <si>
    <t xml:space="preserve">QA Hold</t>
  </si>
  <si>
    <t xml:space="preserve">HOLD</t>
  </si>
  <si>
    <t xml:space="preserve">blue-grey</t>
  </si>
  <si>
    <t xml:space="preserve">Batch held pending lab result</t>
  </si>
  <si>
    <t xml:space="preserve">No schedule</t>
  </si>
  <si>
    <t xml:space="preserve">NOSCH</t>
  </si>
  <si>
    <t xml:space="preserve">light grey hatched</t>
  </si>
  <si>
    <t xml:space="preserve">Excluded</t>
  </si>
  <si>
    <t xml:space="preserve">Outside planned production</t>
  </si>
  <si>
    <t xml:space="preserve">Disconnected</t>
  </si>
  <si>
    <t xml:space="preserve">DISC</t>
  </si>
  <si>
    <t xml:space="preserve">grey</t>
  </si>
  <si>
    <t xml:space="preserve">Excluded (data)</t>
  </si>
  <si>
    <t xml:space="preserve">No data from edge &gt; 2 min (outdoor pad network loss)</t>
  </si>
  <si>
    <t xml:space="preserve">Step 1.6 - Downtime reason tree (63 codes)</t>
  </si>
  <si>
    <t xml:space="preserve">U000 = untagged (auto-detected, awaiting operator reason). Target untagged ratio &lt; 5 %.</t>
  </si>
  <si>
    <t xml:space="preserve">Category</t>
  </si>
  <si>
    <t xml:space="preserve">Group</t>
  </si>
  <si>
    <t xml:space="preserve">Reason</t>
  </si>
  <si>
    <t xml:space="preserve">Lines</t>
  </si>
  <si>
    <t xml:space="preserve">Typical duration (min)</t>
  </si>
  <si>
    <t xml:space="preserve">Loss type</t>
  </si>
  <si>
    <t xml:space="preserve">P101</t>
  </si>
  <si>
    <t xml:space="preserve">Changeover</t>
  </si>
  <si>
    <t xml:space="preserve">Product / recipe change</t>
  </si>
  <si>
    <t xml:space="preserve">P102</t>
  </si>
  <si>
    <t xml:space="preserve">Solvent swap</t>
  </si>
  <si>
    <t xml:space="preserve">L1, L2</t>
  </si>
  <si>
    <t xml:space="preserve">P201</t>
  </si>
  <si>
    <t xml:space="preserve">Cleaning</t>
  </si>
  <si>
    <t xml:space="preserve">Reactor clean-out between batches</t>
  </si>
  <si>
    <t xml:space="preserve">P202</t>
  </si>
  <si>
    <t xml:space="preserve">WFE clean / hot flush</t>
  </si>
  <si>
    <t xml:space="preserve">P203</t>
  </si>
  <si>
    <t xml:space="preserve">Filter cloth change</t>
  </si>
  <si>
    <t xml:space="preserve">P301</t>
  </si>
  <si>
    <t xml:space="preserve">Planned maintenance</t>
  </si>
  <si>
    <t xml:space="preserve">Scheduled PM</t>
  </si>
  <si>
    <t xml:space="preserve">P302</t>
  </si>
  <si>
    <t xml:space="preserve">Vacuum pump oil change</t>
  </si>
  <si>
    <t xml:space="preserve">P303</t>
  </si>
  <si>
    <t xml:space="preserve">Wiper blade replacement</t>
  </si>
  <si>
    <t xml:space="preserve">P304</t>
  </si>
  <si>
    <t xml:space="preserve">Calibration (pH / TT / scale)</t>
  </si>
  <si>
    <t xml:space="preserve">P401</t>
  </si>
  <si>
    <t xml:space="preserve">Shift handover</t>
  </si>
  <si>
    <t xml:space="preserve">E101</t>
  </si>
  <si>
    <t xml:space="preserve">Equipment</t>
  </si>
  <si>
    <t xml:space="preserve">Vacuum system</t>
  </si>
  <si>
    <t xml:space="preserve">Vacuum pump trip</t>
  </si>
  <si>
    <t xml:space="preserve">L2, L1</t>
  </si>
  <si>
    <t xml:space="preserve">E102</t>
  </si>
  <si>
    <t xml:space="preserve">Vacuum pump oil degraded</t>
  </si>
  <si>
    <t xml:space="preserve">E103</t>
  </si>
  <si>
    <t xml:space="preserve">Vacuum leak (seal / O-ring)</t>
  </si>
  <si>
    <t xml:space="preserve">E104</t>
  </si>
  <si>
    <t xml:space="preserve">Cold trap iced / blocked</t>
  </si>
  <si>
    <t xml:space="preserve">E201</t>
  </si>
  <si>
    <t xml:space="preserve">Rotating</t>
  </si>
  <si>
    <t xml:space="preserve">Wiper motor / VFD fault</t>
  </si>
  <si>
    <t xml:space="preserve">E202</t>
  </si>
  <si>
    <t xml:space="preserve">Feed pump failure</t>
  </si>
  <si>
    <t xml:space="preserve">E203</t>
  </si>
  <si>
    <t xml:space="preserve">Agitator fault</t>
  </si>
  <si>
    <t xml:space="preserve">E204</t>
  </si>
  <si>
    <t xml:space="preserve">Recirculation pump failure</t>
  </si>
  <si>
    <t xml:space="preserve">E301</t>
  </si>
  <si>
    <t xml:space="preserve">Thermal</t>
  </si>
  <si>
    <t xml:space="preserve">Heater / TCU fault</t>
  </si>
  <si>
    <t xml:space="preserve">E302</t>
  </si>
  <si>
    <t xml:space="preserve">Chiller fault / high return temp</t>
  </si>
  <si>
    <t xml:space="preserve">E303</t>
  </si>
  <si>
    <t xml:space="preserve">Jacket fluid leak</t>
  </si>
  <si>
    <t xml:space="preserve">E401</t>
  </si>
  <si>
    <t xml:space="preserve">Instrumentation</t>
  </si>
  <si>
    <t xml:space="preserve">pH probe drift / failure</t>
  </si>
  <si>
    <t xml:space="preserve">E402</t>
  </si>
  <si>
    <t xml:space="preserve">Temperature sensor fault</t>
  </si>
  <si>
    <t xml:space="preserve">E403</t>
  </si>
  <si>
    <t xml:space="preserve">Scale fault</t>
  </si>
  <si>
    <t xml:space="preserve">E404</t>
  </si>
  <si>
    <t xml:space="preserve">Level transmitter fault</t>
  </si>
  <si>
    <t xml:space="preserve">E501</t>
  </si>
  <si>
    <t xml:space="preserve">Controls</t>
  </si>
  <si>
    <t xml:space="preserve">PLC / HMI fault</t>
  </si>
  <si>
    <t xml:space="preserve">E502</t>
  </si>
  <si>
    <t xml:space="preserve">Valve failure (stuck / leaking)</t>
  </si>
  <si>
    <t xml:space="preserve">E503</t>
  </si>
  <si>
    <t xml:space="preserve">Dosing pump fault</t>
  </si>
  <si>
    <t xml:space="preserve">R101</t>
  </si>
  <si>
    <t xml:space="preserve">Process</t>
  </si>
  <si>
    <t xml:space="preserve">Vacuum loss - process (outgassing)</t>
  </si>
  <si>
    <t xml:space="preserve">R201</t>
  </si>
  <si>
    <t xml:space="preserve">Temperature excursion</t>
  </si>
  <si>
    <t xml:space="preserve">Product temp out of band</t>
  </si>
  <si>
    <t xml:space="preserve">R202</t>
  </si>
  <si>
    <t xml:space="preserve">Cooling too slow</t>
  </si>
  <si>
    <t xml:space="preserve">R203</t>
  </si>
  <si>
    <t xml:space="preserve">Exotherm over-run</t>
  </si>
  <si>
    <t xml:space="preserve">R301</t>
  </si>
  <si>
    <t xml:space="preserve">Feed / flow</t>
  </si>
  <si>
    <t xml:space="preserve">Feed line solidified / blocked</t>
  </si>
  <si>
    <t xml:space="preserve">R302</t>
  </si>
  <si>
    <t xml:space="preserve">Low recirculation flow</t>
  </si>
  <si>
    <t xml:space="preserve">R401</t>
  </si>
  <si>
    <t xml:space="preserve">Separation</t>
  </si>
  <si>
    <t xml:space="preserve">Emulsion / rag layer</t>
  </si>
  <si>
    <t xml:space="preserve">R402</t>
  </si>
  <si>
    <t xml:space="preserve">Slow phase separation</t>
  </si>
  <si>
    <t xml:space="preserve">R501</t>
  </si>
  <si>
    <t xml:space="preserve">Filtration</t>
  </si>
  <si>
    <t xml:space="preserve">Slow filtration / blinded cloth</t>
  </si>
  <si>
    <t xml:space="preserve">R502</t>
  </si>
  <si>
    <t xml:space="preserve">Wet cake / re-filter</t>
  </si>
  <si>
    <t xml:space="preserve">R601</t>
  </si>
  <si>
    <t xml:space="preserve">pH control</t>
  </si>
  <si>
    <t xml:space="preserve">pH overshoot</t>
  </si>
  <si>
    <t xml:space="preserve">R602</t>
  </si>
  <si>
    <t xml:space="preserve">pH not reaching endpoint</t>
  </si>
  <si>
    <t xml:space="preserve">R701</t>
  </si>
  <si>
    <t xml:space="preserve">Foaming / carry-over</t>
  </si>
  <si>
    <t xml:space="preserve">M101</t>
  </si>
  <si>
    <t xml:space="preserve">Material</t>
  </si>
  <si>
    <t xml:space="preserve">Waiting for feed</t>
  </si>
  <si>
    <t xml:space="preserve">Biomass lot not released</t>
  </si>
  <si>
    <t xml:space="preserve">M102</t>
  </si>
  <si>
    <t xml:space="preserve">Crude / distillate not available</t>
  </si>
  <si>
    <t xml:space="preserve">M103</t>
  </si>
  <si>
    <t xml:space="preserve">Tote not available</t>
  </si>
  <si>
    <t xml:space="preserve">M201</t>
  </si>
  <si>
    <t xml:space="preserve">Waiting for solvent</t>
  </si>
  <si>
    <t xml:space="preserve">Heptane low - fresh</t>
  </si>
  <si>
    <t xml:space="preserve">M202</t>
  </si>
  <si>
    <t xml:space="preserve">Recovered heptane off-spec</t>
  </si>
  <si>
    <t xml:space="preserve">M301</t>
  </si>
  <si>
    <t xml:space="preserve">Consumables</t>
  </si>
  <si>
    <t xml:space="preserve">Waiting for base / acid / filter media / drums</t>
  </si>
  <si>
    <t xml:space="preserve">M401</t>
  </si>
  <si>
    <t xml:space="preserve">Input material out of spec</t>
  </si>
  <si>
    <t xml:space="preserve">U101</t>
  </si>
  <si>
    <t xml:space="preserve">Utilities</t>
  </si>
  <si>
    <t xml:space="preserve">Power outage / dip</t>
  </si>
  <si>
    <t xml:space="preserve">U201</t>
  </si>
  <si>
    <t xml:space="preserve">Nitrogen / compressed air low</t>
  </si>
  <si>
    <t xml:space="preserve">U301</t>
  </si>
  <si>
    <t xml:space="preserve">Cooling water / glycol loss</t>
  </si>
  <si>
    <t xml:space="preserve">U401</t>
  </si>
  <si>
    <t xml:space="preserve">Thermal fluid / steam loss</t>
  </si>
  <si>
    <t xml:space="preserve">Q101</t>
  </si>
  <si>
    <t xml:space="preserve">Quality</t>
  </si>
  <si>
    <t xml:space="preserve">Awaiting in-process lab result</t>
  </si>
  <si>
    <t xml:space="preserve">Q201</t>
  </si>
  <si>
    <t xml:space="preserve">Deviation investigation hold</t>
  </si>
  <si>
    <t xml:space="preserve">Q301</t>
  </si>
  <si>
    <t xml:space="preserve">Awaiting QA release to proceed</t>
  </si>
  <si>
    <t xml:space="preserve">H101</t>
  </si>
  <si>
    <t xml:space="preserve">People / HSE</t>
  </si>
  <si>
    <t xml:space="preserve">People</t>
  </si>
  <si>
    <t xml:space="preserve">Operator not available</t>
  </si>
  <si>
    <t xml:space="preserve">H201</t>
  </si>
  <si>
    <t xml:space="preserve">Awaiting supervisor sign-off</t>
  </si>
  <si>
    <t xml:space="preserve">H301</t>
  </si>
  <si>
    <t xml:space="preserve">Training on job</t>
  </si>
  <si>
    <t xml:space="preserve">X101</t>
  </si>
  <si>
    <t xml:space="preserve">External</t>
  </si>
  <si>
    <t xml:space="preserve">Weather hold - lightning / storm</t>
  </si>
  <si>
    <t xml:space="preserve">X102</t>
  </si>
  <si>
    <t xml:space="preserve">Freeze protection</t>
  </si>
  <si>
    <t xml:space="preserve">X201</t>
  </si>
  <si>
    <t xml:space="preserve">Network / edge loss</t>
  </si>
  <si>
    <t xml:space="preserve">X301</t>
  </si>
  <si>
    <t xml:space="preserve">Regulatory / inspection</t>
  </si>
  <si>
    <t xml:space="preserve">U000</t>
  </si>
  <si>
    <t xml:space="preserve">Untagged</t>
  </si>
  <si>
    <t xml:space="preserve">Unassigned</t>
  </si>
  <si>
    <t xml:space="preserve">Step 1.7 - Quality loss / rejection reasons (29 codes)</t>
  </si>
  <si>
    <t xml:space="preserve">Dispositions: HOLD / REWORK / DOWNGRADE / SCRAP. Disposition is QA-only; SCRAP needs dual sign-off.</t>
  </si>
  <si>
    <t xml:space="preserve">Typical disposition</t>
  </si>
  <si>
    <t xml:space="preserve">QL1-01</t>
  </si>
  <si>
    <t xml:space="preserve">Biomass</t>
  </si>
  <si>
    <t xml:space="preserve">Biomass MIT content below spec (COA)</t>
  </si>
  <si>
    <t xml:space="preserve">Downgrade / supplier claim</t>
  </si>
  <si>
    <t xml:space="preserve">QL1-02</t>
  </si>
  <si>
    <t xml:space="preserve">Foreign matter / moisture high</t>
  </si>
  <si>
    <t xml:space="preserve">Hold</t>
  </si>
  <si>
    <t xml:space="preserve">QL1-03</t>
  </si>
  <si>
    <t xml:space="preserve">Extraction</t>
  </si>
  <si>
    <t xml:space="preserve">Extract liquor pH out of range</t>
  </si>
  <si>
    <t xml:space="preserve">Rework (re-adjust)</t>
  </si>
  <si>
    <t xml:space="preserve">QL1-04</t>
  </si>
  <si>
    <t xml:space="preserve">LLE</t>
  </si>
  <si>
    <t xml:space="preserve">Emulsion carry-over / aqueous in organic</t>
  </si>
  <si>
    <t xml:space="preserve">Rework (re-settle)</t>
  </si>
  <si>
    <t xml:space="preserve">QL1-05</t>
  </si>
  <si>
    <t xml:space="preserve">Crystallization</t>
  </si>
  <si>
    <t xml:space="preserve">Freebase assay &lt; 97.0 %</t>
  </si>
  <si>
    <t xml:space="preserve">Rework (re-crystallize)</t>
  </si>
  <si>
    <t xml:space="preserve">QL1-06</t>
  </si>
  <si>
    <t xml:space="preserve">7-OH-mitragynine above demo limit</t>
  </si>
  <si>
    <t xml:space="preserve">Hold -&gt; QA decision</t>
  </si>
  <si>
    <t xml:space="preserve">QL1-07</t>
  </si>
  <si>
    <t xml:space="preserve">Off-colour / dark crystals</t>
  </si>
  <si>
    <t xml:space="preserve">Rework</t>
  </si>
  <si>
    <t xml:space="preserve">QL1-08</t>
  </si>
  <si>
    <t xml:space="preserve">Filter/dryer</t>
  </si>
  <si>
    <t xml:space="preserve">LOD &gt; 0.5 %</t>
  </si>
  <si>
    <t xml:space="preserve">Rework (re-dry)</t>
  </si>
  <si>
    <t xml:space="preserve">QL1-09</t>
  </si>
  <si>
    <t xml:space="preserve">Residual heptane &gt; 5,000 ppm</t>
  </si>
  <si>
    <t xml:space="preserve">QL1-10</t>
  </si>
  <si>
    <t xml:space="preserve">Drumming</t>
  </si>
  <si>
    <t xml:space="preserve">Drum net weight out of tolerance</t>
  </si>
  <si>
    <t xml:space="preserve">Rework (re-weigh)</t>
  </si>
  <si>
    <t xml:space="preserve">QL1-11</t>
  </si>
  <si>
    <t xml:space="preserve">Genealogy mismatch (drum-batch link)</t>
  </si>
  <si>
    <t xml:space="preserve">QL1-12</t>
  </si>
  <si>
    <t xml:space="preserve">Salt</t>
  </si>
  <si>
    <t xml:space="preserve">Salt assay &lt; 98.0 %</t>
  </si>
  <si>
    <t xml:space="preserve">QL1-13</t>
  </si>
  <si>
    <t xml:space="preserve">Final pH out of range</t>
  </si>
  <si>
    <t xml:space="preserve">QL1-14</t>
  </si>
  <si>
    <t xml:space="preserve">Micro / heavy metals fail (external COA)</t>
  </si>
  <si>
    <t xml:space="preserve">Scrap</t>
  </si>
  <si>
    <t xml:space="preserve">QL2-01</t>
  </si>
  <si>
    <t xml:space="preserve">Crude</t>
  </si>
  <si>
    <t xml:space="preserve">Crude potency below spec</t>
  </si>
  <si>
    <t xml:space="preserve">Downgrade</t>
  </si>
  <si>
    <t xml:space="preserve">QL2-02</t>
  </si>
  <si>
    <t xml:space="preserve">1M WFE</t>
  </si>
  <si>
    <t xml:space="preserve">Residual terpenes / volatiles high in residue</t>
  </si>
  <si>
    <t xml:space="preserve">Rework (re-pass 1M)</t>
  </si>
  <si>
    <t xml:space="preserve">QL2-03</t>
  </si>
  <si>
    <t xml:space="preserve">2M WFE</t>
  </si>
  <si>
    <t xml:space="preserve">Distillate potency &lt; 85 %</t>
  </si>
  <si>
    <t xml:space="preserve">Rework (re-distil)</t>
  </si>
  <si>
    <t xml:space="preserve">QL2-04</t>
  </si>
  <si>
    <t xml:space="preserve">Distillate dark / colour off-spec</t>
  </si>
  <si>
    <t xml:space="preserve">Rework / Downgrade</t>
  </si>
  <si>
    <t xml:space="preserve">QL2-05</t>
  </si>
  <si>
    <t xml:space="preserve">Delta-9 THC above limit</t>
  </si>
  <si>
    <t xml:space="preserve">Hold -&gt; remediation</t>
  </si>
  <si>
    <t xml:space="preserve">QL2-06</t>
  </si>
  <si>
    <t xml:space="preserve">ISO</t>
  </si>
  <si>
    <t xml:space="preserve">Isolate purity &lt; 99.0 %</t>
  </si>
  <si>
    <t xml:space="preserve">QL2-07</t>
  </si>
  <si>
    <t xml:space="preserve">Yellow / off-white isolate (visual)</t>
  </si>
  <si>
    <t xml:space="preserve">Rework (rinse / re-crystallize)</t>
  </si>
  <si>
    <t xml:space="preserve">QL2-08</t>
  </si>
  <si>
    <t xml:space="preserve">Crash endpoint not reached (&gt; -18 degC) - low yield</t>
  </si>
  <si>
    <t xml:space="preserve">Rework (re-crash)</t>
  </si>
  <si>
    <t xml:space="preserve">QL2-09</t>
  </si>
  <si>
    <t xml:space="preserve">RXN</t>
  </si>
  <si>
    <t xml:space="preserve">Incomplete conversion (residual CBD high)</t>
  </si>
  <si>
    <t xml:space="preserve">Rework (re-cook per SOP)</t>
  </si>
  <si>
    <t xml:space="preserve">QL2-10</t>
  </si>
  <si>
    <t xml:space="preserve">Delta-9 THC / side-product above limit</t>
  </si>
  <si>
    <t xml:space="preserve">Hold -&gt; QA</t>
  </si>
  <si>
    <t xml:space="preserve">QL2-11</t>
  </si>
  <si>
    <t xml:space="preserve">Wash pH out of range</t>
  </si>
  <si>
    <t xml:space="preserve">Rework (extra wash)</t>
  </si>
  <si>
    <t xml:space="preserve">QL2-12</t>
  </si>
  <si>
    <t xml:space="preserve">Drying</t>
  </si>
  <si>
    <t xml:space="preserve">QL2-13</t>
  </si>
  <si>
    <t xml:space="preserve">LOD / moisture high</t>
  </si>
  <si>
    <t xml:space="preserve">QL2-14</t>
  </si>
  <si>
    <t xml:space="preserve">Any</t>
  </si>
  <si>
    <t xml:space="preserve">Contamination / foreign matter</t>
  </si>
  <si>
    <t xml:space="preserve">QL2-15</t>
  </si>
  <si>
    <t xml:space="preserve">Spill / handling loss</t>
  </si>
  <si>
    <t xml:space="preserve">Scrap (mass loss)</t>
  </si>
  <si>
    <t xml:space="preserve">Step 1.8 - Logbook form library (14 forms)</t>
  </si>
  <si>
    <t xml:space="preserve">FOR-BIP-xxx forms are OBX real controlled records and rendered field-for-field. FOR-KRT / LOG-xxx are demo formats pending OBX Quality.</t>
  </si>
  <si>
    <t xml:space="preserve">Form No</t>
  </si>
  <si>
    <t xml:space="preserve">Title</t>
  </si>
  <si>
    <t xml:space="preserve">Revision</t>
  </si>
  <si>
    <t xml:space="preserve">Effective</t>
  </si>
  <si>
    <t xml:space="preserve">Entry level</t>
  </si>
  <si>
    <t xml:space="preserve">Every (h)</t>
  </si>
  <si>
    <t xml:space="preserve">Assets</t>
  </si>
  <si>
    <t xml:space="preserve">Origin</t>
  </si>
  <si>
    <t xml:space="preserve">1M Distillation Log</t>
  </si>
  <si>
    <t xml:space="preserve">Rev. 2</t>
  </si>
  <si>
    <t xml:space="preserve">2025-11-17</t>
  </si>
  <si>
    <t xml:space="preserve">entry</t>
  </si>
  <si>
    <t xml:space="preserve">OBX controlled BPR</t>
  </si>
  <si>
    <t xml:space="preserve">2M Distillation Log</t>
  </si>
  <si>
    <t xml:space="preserve">Isolation Log</t>
  </si>
  <si>
    <t xml:space="preserve">Rev. 7</t>
  </si>
  <si>
    <t xml:space="preserve">2026-01-16</t>
  </si>
  <si>
    <t xml:space="preserve">L2-ISO-A, L2-ISO-B, L2-ISO-C, L2-ISO-D, L2-ISO-E</t>
  </si>
  <si>
    <t xml:space="preserve">D8 Log</t>
  </si>
  <si>
    <t xml:space="preserve">Rev. 4</t>
  </si>
  <si>
    <t xml:space="preserve">2026-02-05</t>
  </si>
  <si>
    <t xml:space="preserve">L2-RXN-1, L2-RXN-3</t>
  </si>
  <si>
    <t xml:space="preserve">Extraction Cycle Log</t>
  </si>
  <si>
    <t xml:space="preserve">Rev. A (demo)</t>
  </si>
  <si>
    <t xml:space="preserve">2026-09-01</t>
  </si>
  <si>
    <t xml:space="preserve">L1-EXT-T01, L1-EXT-T02, L1-EXT-T03, L1-EXT-T04</t>
  </si>
  <si>
    <t xml:space="preserve">Demo format</t>
  </si>
  <si>
    <t xml:space="preserve">LLE / Solvent Log</t>
  </si>
  <si>
    <t xml:space="preserve">L1-LLE-01, L1-SRU-01</t>
  </si>
  <si>
    <t xml:space="preserve">Crystallization Batch Log</t>
  </si>
  <si>
    <t xml:space="preserve">L1-CRY-01, L1-CRY-02, L1-FIL-01</t>
  </si>
  <si>
    <t xml:space="preserve">FOR-KRT-104</t>
  </si>
  <si>
    <t xml:space="preserve">Drum &amp; Weigh Log</t>
  </si>
  <si>
    <t xml:space="preserve">event</t>
  </si>
  <si>
    <t xml:space="preserve">Salt Run Log</t>
  </si>
  <si>
    <t xml:space="preserve">L1-SLT-01, L1-SDR-01</t>
  </si>
  <si>
    <t xml:space="preserve">LOG-SHIFT</t>
  </si>
  <si>
    <t xml:space="preserve">Shift Handover</t>
  </si>
  <si>
    <t xml:space="preserve">shift</t>
  </si>
  <si>
    <t xml:space="preserve">LOG-EQ-DAILY</t>
  </si>
  <si>
    <t xml:space="preserve">Daily Equipment Checklist</t>
  </si>
  <si>
    <t xml:space="preserve">day</t>
  </si>
  <si>
    <t xml:space="preserve">LOG-CAL</t>
  </si>
  <si>
    <t xml:space="preserve">Calibration Log</t>
  </si>
  <si>
    <t xml:space="preserve">LOG-SOLV</t>
  </si>
  <si>
    <t xml:space="preserve">Solvent Inventory (L1 heptane)</t>
  </si>
  <si>
    <t xml:space="preserve">LOG-CLEAN</t>
  </si>
  <si>
    <t xml:space="preserve">Cleaning / Changeover</t>
  </si>
  <si>
    <t xml:space="preserve">Step 1.9 - Form field schema (279 fields across 14 forms)</t>
  </si>
  <si>
    <t xml:space="preserve">Capture: manual = operator entry; live = controller/PLC snapshot, operator acknowledges; milestone = timestamp from tag rule; calc = calculated; genealogy / scale / lims / erp = system of origin. Visual checks are always manual.</t>
  </si>
  <si>
    <t xml:space="preserve">Form</t>
  </si>
  <si>
    <t xml:space="preserve">Section</t>
  </si>
  <si>
    <t xml:space="preserve">Repeat</t>
  </si>
  <si>
    <t xml:space="preserve">Field key</t>
  </si>
  <si>
    <t xml:space="preserve">Field label</t>
  </si>
  <si>
    <t xml:space="preserve">Type</t>
  </si>
  <si>
    <t xml:space="preserve">Capture</t>
  </si>
  <si>
    <t xml:space="preserve">Req</t>
  </si>
  <si>
    <t xml:space="preserve">Limits</t>
  </si>
  <si>
    <t xml:space="preserve">Rule / options / notes</t>
  </si>
  <si>
    <t xml:space="preserve">HEADER - Batch header</t>
  </si>
  <si>
    <t xml:space="preserve">BATCH_ID</t>
  </si>
  <si>
    <t xml:space="preserve">Distillation batch ID</t>
  </si>
  <si>
    <t xml:space="preserve">id</t>
  </si>
  <si>
    <t xml:space="preserve">genealogy</t>
  </si>
  <si>
    <t xml:space="preserve">ERP</t>
  </si>
  <si>
    <t xml:space="preserve">Y</t>
  </si>
  <si>
    <t xml:space="preserve">Format 1M-YYMMDD-NN</t>
  </si>
  <si>
    <t xml:space="preserve">INPUT_LOTS</t>
  </si>
  <si>
    <t xml:space="preserve">Source crude / WDC lot(s)</t>
  </si>
  <si>
    <t xml:space="preserve">multiselect</t>
  </si>
  <si>
    <t xml:space="preserve">ASSET</t>
  </si>
  <si>
    <t xml:space="preserve">text</t>
  </si>
  <si>
    <t xml:space="preserve">system</t>
  </si>
  <si>
    <t xml:space="preserve">START_TIME</t>
  </si>
  <si>
    <t xml:space="preserve">Run start</t>
  </si>
  <si>
    <t xml:space="preserve">datetime</t>
  </si>
  <si>
    <t xml:space="preserve">milestone</t>
  </si>
  <si>
    <t xml:space="preserve">First STEADY FEED timestamp from state engine</t>
  </si>
  <si>
    <t xml:space="preserve">HANDOFF - Shift handoff</t>
  </si>
  <si>
    <t xml:space="preserve">OUT_OPERATOR</t>
  </si>
  <si>
    <t xml:space="preserve">Outgoing operator</t>
  </si>
  <si>
    <t xml:space="preserve">esign</t>
  </si>
  <si>
    <t xml:space="preserve">manual</t>
  </si>
  <si>
    <t xml:space="preserve">IN_OPERATOR</t>
  </si>
  <si>
    <t xml:space="preserve">Incoming operator</t>
  </si>
  <si>
    <t xml:space="preserve">HANDOFF_TIME</t>
  </si>
  <si>
    <t xml:space="preserve">Handoff time</t>
  </si>
  <si>
    <t xml:space="preserve">HANDOFF_NOTES</t>
  </si>
  <si>
    <t xml:space="preserve">Handoff notes</t>
  </si>
  <si>
    <t xml:space="preserve">longtext</t>
  </si>
  <si>
    <t xml:space="preserve">CHECK - 2-hour check</t>
  </si>
  <si>
    <t xml:space="preserve">x1..12</t>
  </si>
  <si>
    <t xml:space="preserve">CHECK_TIME</t>
  </si>
  <si>
    <t xml:space="preserve">Check time</t>
  </si>
  <si>
    <t xml:space="preserve">WIPER_SP</t>
  </si>
  <si>
    <t xml:space="preserve">Wiper speed SP</t>
  </si>
  <si>
    <t xml:space="preserve">number</t>
  </si>
  <si>
    <t xml:space="preserve">live</t>
  </si>
  <si>
    <t xml:space="preserve">target 300</t>
  </si>
  <si>
    <t xml:space="preserve">Setpoint read from controller</t>
  </si>
  <si>
    <t xml:space="preserve">Wiper speed actual</t>
  </si>
  <si>
    <t xml:space="preserve">min 280 max 320</t>
  </si>
  <si>
    <t xml:space="preserve">FEED_SP</t>
  </si>
  <si>
    <t xml:space="preserve">Feed rate SP</t>
  </si>
  <si>
    <t xml:space="preserve">target 5</t>
  </si>
  <si>
    <t xml:space="preserve">Feed rate actual</t>
  </si>
  <si>
    <t xml:space="preserve">min 4 max 6</t>
  </si>
  <si>
    <t xml:space="preserve">RUNOFF</t>
  </si>
  <si>
    <t xml:space="preserve">Run-off observation</t>
  </si>
  <si>
    <t xml:space="preserve">select</t>
  </si>
  <si>
    <t xml:space="preserve">Steady flow / Slow flow / Intermittent / No flow</t>
  </si>
  <si>
    <t xml:space="preserve">RUNOFF_TARGET</t>
  </si>
  <si>
    <t xml:space="preserve">Target (per SOP)</t>
  </si>
  <si>
    <t xml:space="preserve">Displayed from SOP; confirm column meaning with OBX</t>
  </si>
  <si>
    <t xml:space="preserve">max 1.5</t>
  </si>
  <si>
    <t xml:space="preserve">EVAP_SP</t>
  </si>
  <si>
    <t xml:space="preserve">Evaporator temp SP</t>
  </si>
  <si>
    <t xml:space="preserve">target 150</t>
  </si>
  <si>
    <t xml:space="preserve">Evaporator temp actual</t>
  </si>
  <si>
    <t xml:space="preserve">min 145 max 155</t>
  </si>
  <si>
    <t xml:space="preserve">COND_SP</t>
  </si>
  <si>
    <t xml:space="preserve">Condenser temp SP</t>
  </si>
  <si>
    <t xml:space="preserve">target 50</t>
  </si>
  <si>
    <t xml:space="preserve">Condenser temp actual</t>
  </si>
  <si>
    <t xml:space="preserve">min 45 max 55</t>
  </si>
  <si>
    <t xml:space="preserve">CHL_SP</t>
  </si>
  <si>
    <t xml:space="preserve">Chiller temp SP</t>
  </si>
  <si>
    <t xml:space="preserve">target -10</t>
  </si>
  <si>
    <t xml:space="preserve">Chiller temp actual</t>
  </si>
  <si>
    <t xml:space="preserve">min -15 max -5</t>
  </si>
  <si>
    <t xml:space="preserve">ACK</t>
  </si>
  <si>
    <t xml:space="preserve">Operator acknowledges auto values</t>
  </si>
  <si>
    <t xml:space="preserve">attest</t>
  </si>
  <si>
    <t xml:space="preserve">INITIALS</t>
  </si>
  <si>
    <t xml:space="preserve">Operator initials (e-sign)</t>
  </si>
  <si>
    <t xml:space="preserve">CLOSE - Mass &amp; timing (batch close)</t>
  </si>
  <si>
    <t xml:space="preserve">MASS_IN</t>
  </si>
  <si>
    <t xml:space="preserve">Mass in</t>
  </si>
  <si>
    <t xml:space="preserve">scale</t>
  </si>
  <si>
    <t xml:space="preserve">Scale</t>
  </si>
  <si>
    <t xml:space="preserve">kg</t>
  </si>
  <si>
    <t xml:space="preserve">MASS_DIST</t>
  </si>
  <si>
    <t xml:space="preserve">Mass distillate (terpene cut)</t>
  </si>
  <si>
    <t xml:space="preserve">MASS_RES</t>
  </si>
  <si>
    <t xml:space="preserve">Mass residue (run-off to 2M)</t>
  </si>
  <si>
    <t xml:space="preserve">MASS_BAL</t>
  </si>
  <si>
    <t xml:space="preserve">Mass balance</t>
  </si>
  <si>
    <t xml:space="preserve">calc</t>
  </si>
  <si>
    <t xml:space="preserve">min 97 max 101</t>
  </si>
  <si>
    <t xml:space="preserve">(distillate + residue) / mass in x 100</t>
  </si>
  <si>
    <t xml:space="preserve">STOP_TIME</t>
  </si>
  <si>
    <t xml:space="preserve">Run stop</t>
  </si>
  <si>
    <t xml:space="preserve">RUN_H</t>
  </si>
  <si>
    <t xml:space="preserve">Total run time</t>
  </si>
  <si>
    <t xml:space="preserve">Sum of RUN time in STEADY FEED</t>
  </si>
  <si>
    <t xml:space="preserve">EXCEPTIONS - Exceptions</t>
  </si>
  <si>
    <t xml:space="preserve">DEV_REF</t>
  </si>
  <si>
    <t xml:space="preserve">Deviation reference</t>
  </si>
  <si>
    <t xml:space="preserve">link</t>
  </si>
  <si>
    <t xml:space="preserve">COMMENTS</t>
  </si>
  <si>
    <t xml:space="preserve">Comments</t>
  </si>
  <si>
    <t xml:space="preserve">Format 2M-YYMMDD-NN</t>
  </si>
  <si>
    <t xml:space="preserve">Source 1M residue lot(s)</t>
  </si>
  <si>
    <t xml:space="preserve">target 3.5</t>
  </si>
  <si>
    <t xml:space="preserve">min 3 max 4</t>
  </si>
  <si>
    <t xml:space="preserve">max 0.05</t>
  </si>
  <si>
    <t xml:space="preserve">target 175</t>
  </si>
  <si>
    <t xml:space="preserve">min 170 max 180</t>
  </si>
  <si>
    <t xml:space="preserve">target 70</t>
  </si>
  <si>
    <t xml:space="preserve">min 65 max 75</t>
  </si>
  <si>
    <t xml:space="preserve">target -15</t>
  </si>
  <si>
    <t xml:space="preserve">min -20 max -10</t>
  </si>
  <si>
    <t xml:space="preserve">OIL - Oil added</t>
  </si>
  <si>
    <t xml:space="preserve">x0..6</t>
  </si>
  <si>
    <t xml:space="preserve">OIL_TIME</t>
  </si>
  <si>
    <t xml:space="preserve">Oil-added time</t>
  </si>
  <si>
    <t xml:space="preserve">OIL_KG</t>
  </si>
  <si>
    <t xml:space="preserve">Oil added</t>
  </si>
  <si>
    <t xml:space="preserve">OIL_CONFIRM</t>
  </si>
  <si>
    <t xml:space="preserve">Oil addition confirmed</t>
  </si>
  <si>
    <t xml:space="preserve">Mass distillate</t>
  </si>
  <si>
    <t xml:space="preserve">Mass residue</t>
  </si>
  <si>
    <t xml:space="preserve">DISTILLATE - Distillate quality</t>
  </si>
  <si>
    <t xml:space="preserve">POTENCY</t>
  </si>
  <si>
    <t xml:space="preserve">Distillate potency (total cannabinoids)</t>
  </si>
  <si>
    <t xml:space="preserve">lims</t>
  </si>
  <si>
    <t xml:space="preserve">LIMS/COA</t>
  </si>
  <si>
    <t xml:space="preserve">min 85</t>
  </si>
  <si>
    <t xml:space="preserve">D9_THC</t>
  </si>
  <si>
    <t xml:space="preserve">Delta-9 THC</t>
  </si>
  <si>
    <t xml:space="preserve">% w/w</t>
  </si>
  <si>
    <t xml:space="preserve">max 0.3</t>
  </si>
  <si>
    <t xml:space="preserve">Hold if above limit (QL2-05)</t>
  </si>
  <si>
    <t xml:space="preserve">COLOUR</t>
  </si>
  <si>
    <t xml:space="preserve">Distillate colour</t>
  </si>
  <si>
    <t xml:space="preserve">Light gold / Gold / Amber / Dark</t>
  </si>
  <si>
    <t xml:space="preserve">HEADER - Header</t>
  </si>
  <si>
    <t xml:space="preserve">REACTOR</t>
  </si>
  <si>
    <t xml:space="preserve">Reactor</t>
  </si>
  <si>
    <t xml:space="preserve">ISO-A / ISO-B / ISO-C / ISO-D / ISO-E</t>
  </si>
  <si>
    <t xml:space="preserve">Isolation batch ID</t>
  </si>
  <si>
    <t xml:space="preserve">Format ISO-X-YYMMDD-NN-Cn</t>
  </si>
  <si>
    <t xml:space="preserve">Input distillate lot(s)</t>
  </si>
  <si>
    <t xml:space="preserve">INPUT_KG</t>
  </si>
  <si>
    <t xml:space="preserve">Input mass</t>
  </si>
  <si>
    <t xml:space="preserve">CHARGE - Solvent charge</t>
  </si>
  <si>
    <t xml:space="preserve">HEP_CALC_L</t>
  </si>
  <si>
    <t xml:space="preserve">Heptane charge - calculated</t>
  </si>
  <si>
    <t xml:space="preserve">L</t>
  </si>
  <si>
    <t xml:space="preserve">Input kg x 2.5 L/kg (demo factor)</t>
  </si>
  <si>
    <t xml:space="preserve">HEP_ACT_L</t>
  </si>
  <si>
    <t xml:space="preserve">Heptane charge - actual</t>
  </si>
  <si>
    <t xml:space="preserve">Within +/-2 % of calculated</t>
  </si>
  <si>
    <t xml:space="preserve">CRASH - Crash</t>
  </si>
  <si>
    <t xml:space="preserve">x1..4</t>
  </si>
  <si>
    <t xml:space="preserve">CRASH_NO</t>
  </si>
  <si>
    <t xml:space="preserve">Crash no.</t>
  </si>
  <si>
    <t xml:space="preserve">min 1 max 4</t>
  </si>
  <si>
    <t xml:space="preserve">DISSOLVE_T</t>
  </si>
  <si>
    <t xml:space="preserve">Dissolve temperature</t>
  </si>
  <si>
    <t xml:space="preserve">DISSOLVE_TIME</t>
  </si>
  <si>
    <t xml:space="preserve">Dissolve complete</t>
  </si>
  <si>
    <t xml:space="preserve">COOL_START</t>
  </si>
  <si>
    <t xml:space="preserve">Start cooling time</t>
  </si>
  <si>
    <t xml:space="preserve">REACHED_M18</t>
  </si>
  <si>
    <t xml:space="preserve">Time internal temp reached -18 degC</t>
  </si>
  <si>
    <t xml:space="preserve">SOP-BIP-003</t>
  </si>
  <si>
    <t xml:space="preserve">First time T_INT &lt;= -18.0 degC for 5 consecutive minutes</t>
  </si>
  <si>
    <t xml:space="preserve">HOLD_START</t>
  </si>
  <si>
    <t xml:space="preserve">Hold start</t>
  </si>
  <si>
    <t xml:space="preserve">HOLD_END</t>
  </si>
  <si>
    <t xml:space="preserve">Hold end</t>
  </si>
  <si>
    <t xml:space="preserve">Crash endpoint temperature</t>
  </si>
  <si>
    <t xml:space="preserve">max -18</t>
  </si>
  <si>
    <t xml:space="preserve">Mean T_INT over last 30 min of HOLD</t>
  </si>
  <si>
    <t xml:space="preserve">TRANSFER_TIME</t>
  </si>
  <si>
    <t xml:space="preserve">Transfer / filter time</t>
  </si>
  <si>
    <t xml:space="preserve">RINSE1_L</t>
  </si>
  <si>
    <t xml:space="preserve">Rinse 1 volume</t>
  </si>
  <si>
    <t xml:space="preserve">RINSE1_TIME</t>
  </si>
  <si>
    <t xml:space="preserve">Rinse 1 time</t>
  </si>
  <si>
    <t xml:space="preserve">RINSE2_L</t>
  </si>
  <si>
    <t xml:space="preserve">Rinse 2 volume</t>
  </si>
  <si>
    <t xml:space="preserve">RINSE2_TIME</t>
  </si>
  <si>
    <t xml:space="preserve">Rinse 2 time</t>
  </si>
  <si>
    <t xml:space="preserve">RINSE3_L</t>
  </si>
  <si>
    <t xml:space="preserve">Rinse 3 volume</t>
  </si>
  <si>
    <t xml:space="preserve">RINSE3_TIME</t>
  </si>
  <si>
    <t xml:space="preserve">Rinse 3 time</t>
  </si>
  <si>
    <t xml:space="preserve">FLUFF_MIX</t>
  </si>
  <si>
    <t xml:space="preserve">Fluff / mix done</t>
  </si>
  <si>
    <t xml:space="preserve">TRAY_IN</t>
  </si>
  <si>
    <t xml:space="preserve">Tray in time</t>
  </si>
  <si>
    <t xml:space="preserve">TRAY_OUT</t>
  </si>
  <si>
    <t xml:space="preserve">Tray out time</t>
  </si>
  <si>
    <t xml:space="preserve">OVEN_ID</t>
  </si>
  <si>
    <t xml:space="preserve">Vacuum oven</t>
  </si>
  <si>
    <t xml:space="preserve">VO-01 / VO-02</t>
  </si>
  <si>
    <t xml:space="preserve">ISOLATE_KG</t>
  </si>
  <si>
    <t xml:space="preserve">Isolate mass out</t>
  </si>
  <si>
    <t xml:space="preserve">YIELD_PCT</t>
  </si>
  <si>
    <t xml:space="preserve">Crash yield</t>
  </si>
  <si>
    <t xml:space="preserve">Isolate kg / input kg x 100</t>
  </si>
  <si>
    <t xml:space="preserve">VIS_COLOUR</t>
  </si>
  <si>
    <t xml:space="preserve">Visual - colour</t>
  </si>
  <si>
    <t xml:space="preserve">Operator judgement per SOP - never automated; White / Off-white / Yellow</t>
  </si>
  <si>
    <t xml:space="preserve">VIS_DRYNESS</t>
  </si>
  <si>
    <t xml:space="preserve">Visual - dryness</t>
  </si>
  <si>
    <t xml:space="preserve">Dry / Slightly damp / Wet</t>
  </si>
  <si>
    <t xml:space="preserve">VIS_CONDITION</t>
  </si>
  <si>
    <t xml:space="preserve">Visual - material condition</t>
  </si>
  <si>
    <t xml:space="preserve">Free-flowing crystals / Clumped / Glassy / oiled out</t>
  </si>
  <si>
    <t xml:space="preserve">NOTES - Notes / exceptions</t>
  </si>
  <si>
    <t xml:space="preserve">NOTES</t>
  </si>
  <si>
    <t xml:space="preserve">Notes</t>
  </si>
  <si>
    <t xml:space="preserve">REACTION_ID</t>
  </si>
  <si>
    <t xml:space="preserve">Reaction ID</t>
  </si>
  <si>
    <t xml:space="preserve">Format D8-YYMMDD-NN</t>
  </si>
  <si>
    <t xml:space="preserve">RXN-1 / RXN-3</t>
  </si>
  <si>
    <t xml:space="preserve">Input isolate lot(s)</t>
  </si>
  <si>
    <t xml:space="preserve">RECIPE - Recipe (guided)</t>
  </si>
  <si>
    <t xml:space="preserve">Heptane - calculated</t>
  </si>
  <si>
    <t xml:space="preserve">Input kg x 4.0 L/kg (demo factor per SOP-BIP-005)</t>
  </si>
  <si>
    <t xml:space="preserve">Heptane - actual</t>
  </si>
  <si>
    <t xml:space="preserve">ACID_CALC_KG</t>
  </si>
  <si>
    <t xml:space="preserve">Acid - calculated</t>
  </si>
  <si>
    <t xml:space="preserve">Input kg x 0.05 (demo factor per SOP-BIP-005)</t>
  </si>
  <si>
    <t xml:space="preserve">ACID_ACT_KG</t>
  </si>
  <si>
    <t xml:space="preserve">Acid - actual</t>
  </si>
  <si>
    <t xml:space="preserve">MILESTONES - Reaction milestones</t>
  </si>
  <si>
    <t xml:space="preserve">MATERIAL_IN</t>
  </si>
  <si>
    <t xml:space="preserve">Material-in time</t>
  </si>
  <si>
    <t xml:space="preserve">Pre-acid temperature</t>
  </si>
  <si>
    <t xml:space="preserve">min 50 max 55</t>
  </si>
  <si>
    <t xml:space="preserve">SOP-BIP-005</t>
  </si>
  <si>
    <t xml:space="preserve">ACID_IN</t>
  </si>
  <si>
    <t xml:space="preserve">Acid-in time (attest)</t>
  </si>
  <si>
    <t xml:space="preserve">ACID_ATTEST</t>
  </si>
  <si>
    <t xml:space="preserve">Acid addition performed per SOP</t>
  </si>
  <si>
    <t xml:space="preserve">Exotherm peak temperature</t>
  </si>
  <si>
    <t xml:space="preserve">max 78</t>
  </si>
  <si>
    <t xml:space="preserve">Max T_INT in EXOTHERM phase</t>
  </si>
  <si>
    <t xml:space="preserve">EXO_PEAK_TIME</t>
  </si>
  <si>
    <t xml:space="preserve">Exotherm peak time</t>
  </si>
  <si>
    <t xml:space="preserve">EXO_RISE</t>
  </si>
  <si>
    <t xml:space="preserve">Exotherm rise</t>
  </si>
  <si>
    <t xml:space="preserve">Peak - pre-acid temperature</t>
  </si>
  <si>
    <t xml:space="preserve">EXO_TTP</t>
  </si>
  <si>
    <t xml:space="preserve">Time to peak</t>
  </si>
  <si>
    <t xml:space="preserve">min</t>
  </si>
  <si>
    <t xml:space="preserve">SET_TEMP</t>
  </si>
  <si>
    <t xml:space="preserve">Cook set temperature</t>
  </si>
  <si>
    <t xml:space="preserve">target 90</t>
  </si>
  <si>
    <t xml:space="preserve">COOK_START</t>
  </si>
  <si>
    <t xml:space="preserve">Cook start</t>
  </si>
  <si>
    <t xml:space="preserve">COOK_END</t>
  </si>
  <si>
    <t xml:space="preserve">Cook end</t>
  </si>
  <si>
    <t xml:space="preserve">COOK_IN_BAND</t>
  </si>
  <si>
    <t xml:space="preserve">Cook time in 85-95 degC band</t>
  </si>
  <si>
    <t xml:space="preserve">min 95</t>
  </si>
  <si>
    <t xml:space="preserve">Minutes with 85 &lt;= T_INT &lt;= 95 / cook minutes x 100</t>
  </si>
  <si>
    <t xml:space="preserve">WASH - Wash</t>
  </si>
  <si>
    <t xml:space="preserve">x3..3</t>
  </si>
  <si>
    <t xml:space="preserve">WASH_NO</t>
  </si>
  <si>
    <t xml:space="preserve">Wash no.</t>
  </si>
  <si>
    <t xml:space="preserve">WASH_DONE</t>
  </si>
  <si>
    <t xml:space="preserve">Wash performed</t>
  </si>
  <si>
    <t xml:space="preserve">WASH_PH</t>
  </si>
  <si>
    <t xml:space="preserve">min 6.5 max 8</t>
  </si>
  <si>
    <t xml:space="preserve">Limit applies to wash 3</t>
  </si>
  <si>
    <t xml:space="preserve">WASH_TIME</t>
  </si>
  <si>
    <t xml:space="preserve">Wash time</t>
  </si>
  <si>
    <t xml:space="preserve">CLOSE - Close</t>
  </si>
  <si>
    <t xml:space="preserve">OUTPUT_KG</t>
  </si>
  <si>
    <t xml:space="preserve">Output mass</t>
  </si>
  <si>
    <t xml:space="preserve">Yield</t>
  </si>
  <si>
    <t xml:space="preserve">CYCLE_ID</t>
  </si>
  <si>
    <t xml:space="preserve">Extraction cycle ID</t>
  </si>
  <si>
    <t xml:space="preserve">TANK</t>
  </si>
  <si>
    <t xml:space="preserve">Extraction tank</t>
  </si>
  <si>
    <t xml:space="preserve">T01 / T02 / T03 / T04</t>
  </si>
  <si>
    <t xml:space="preserve">BIOMASS_LOT</t>
  </si>
  <si>
    <t xml:space="preserve">Biomass lot</t>
  </si>
  <si>
    <t xml:space="preserve">scan</t>
  </si>
  <si>
    <t xml:space="preserve">CHARGE_KG</t>
  </si>
  <si>
    <t xml:space="preserve">Biomass charge</t>
  </si>
  <si>
    <t xml:space="preserve">STEPS - PLC step times</t>
  </si>
  <si>
    <t xml:space="preserve">FILL_START</t>
  </si>
  <si>
    <t xml:space="preserve">Fill start</t>
  </si>
  <si>
    <t xml:space="preserve">SOAK_START</t>
  </si>
  <si>
    <t xml:space="preserve">Soak start</t>
  </si>
  <si>
    <t xml:space="preserve">RECIRC_START</t>
  </si>
  <si>
    <t xml:space="preserve">Recirculation start</t>
  </si>
  <si>
    <t xml:space="preserve">DRAIN_START</t>
  </si>
  <si>
    <t xml:space="preserve">Drain start</t>
  </si>
  <si>
    <t xml:space="preserve">DRAIN_END</t>
  </si>
  <si>
    <t xml:space="preserve">Drain end</t>
  </si>
  <si>
    <t xml:space="preserve">CYCLE_H</t>
  </si>
  <si>
    <t xml:space="preserve">Cycle time</t>
  </si>
  <si>
    <t xml:space="preserve">target 8</t>
  </si>
  <si>
    <t xml:space="preserve">PROCESS - Liquor</t>
  </si>
  <si>
    <t xml:space="preserve">LIQ_TEMP</t>
  </si>
  <si>
    <t xml:space="preserve">Liquor temperature (recirc avg)</t>
  </si>
  <si>
    <t xml:space="preserve">min 55 max 65</t>
  </si>
  <si>
    <t xml:space="preserve">LIQ_PH</t>
  </si>
  <si>
    <t xml:space="preserve">Liquor pH (end of recirc)</t>
  </si>
  <si>
    <t xml:space="preserve">Recirculation flow (avg)</t>
  </si>
  <si>
    <t xml:space="preserve">min 150 max 210</t>
  </si>
  <si>
    <t xml:space="preserve">DRAIN_L</t>
  </si>
  <si>
    <t xml:space="preserve">Drain volume</t>
  </si>
  <si>
    <t xml:space="preserve">Level delta x tank volume</t>
  </si>
  <si>
    <t xml:space="preserve">TOTE_IDS</t>
  </si>
  <si>
    <t xml:space="preserve">Totes filled</t>
  </si>
  <si>
    <t xml:space="preserve">DISC_MIN</t>
  </si>
  <si>
    <t xml:space="preserve">Edge data gap back-filled</t>
  </si>
  <si>
    <t xml:space="preserve">Outdoor-pad network loss; values back-filled from I/O Connect buffer</t>
  </si>
  <si>
    <t xml:space="preserve">WEATHER_HOLD</t>
  </si>
  <si>
    <t xml:space="preserve">Weather hold during cycle</t>
  </si>
  <si>
    <t xml:space="preserve">boolean</t>
  </si>
  <si>
    <t xml:space="preserve">WEATHER_REASON</t>
  </si>
  <si>
    <t xml:space="preserve">Weather hold reason</t>
  </si>
  <si>
    <t xml:space="preserve">Lightning / Freeze / High wind / Heavy rain</t>
  </si>
  <si>
    <t xml:space="preserve">LLE - LLE skid</t>
  </si>
  <si>
    <t xml:space="preserve">LLE_BATCH</t>
  </si>
  <si>
    <t xml:space="preserve">LLE campaign</t>
  </si>
  <si>
    <t xml:space="preserve">min 18 max 26</t>
  </si>
  <si>
    <t xml:space="preserve">min 34 max 46</t>
  </si>
  <si>
    <t xml:space="preserve">OA_RATIO</t>
  </si>
  <si>
    <t xml:space="preserve">O/A ratio</t>
  </si>
  <si>
    <t xml:space="preserve">min 0.45 max 0.6</t>
  </si>
  <si>
    <t xml:space="preserve">Organic flow / aqueous flow</t>
  </si>
  <si>
    <t xml:space="preserve">min 9.4 max 10.2</t>
  </si>
  <si>
    <t xml:space="preserve">INTERFACE</t>
  </si>
  <si>
    <t xml:space="preserve">Interface observation</t>
  </si>
  <si>
    <t xml:space="preserve">Sharp / Rag layer &lt; 1 cm / Rag layer &gt; 1 cm</t>
  </si>
  <si>
    <t xml:space="preserve">EMULSION</t>
  </si>
  <si>
    <t xml:space="preserve">Emulsion present</t>
  </si>
  <si>
    <t xml:space="preserve">HEP_IN_L</t>
  </si>
  <si>
    <t xml:space="preserve">Heptane to LLE (since last check)</t>
  </si>
  <si>
    <t xml:space="preserve">Totaliser delta</t>
  </si>
  <si>
    <t xml:space="preserve">SRU - Solvent recovery</t>
  </si>
  <si>
    <t xml:space="preserve">min 97 max 104</t>
  </si>
  <si>
    <t xml:space="preserve">Assets: L1-SRU</t>
  </si>
  <si>
    <t xml:space="preserve">Condenser outlet temperature</t>
  </si>
  <si>
    <t xml:space="preserve">max 30</t>
  </si>
  <si>
    <t xml:space="preserve">HEP_REC_L</t>
  </si>
  <si>
    <t xml:space="preserve">Heptane recovered (since last check)</t>
  </si>
  <si>
    <t xml:space="preserve">HEP_T01_PCT</t>
  </si>
  <si>
    <t xml:space="preserve">Heptane tank HEP-T01 level</t>
  </si>
  <si>
    <t xml:space="preserve">HEP_T02_PCT</t>
  </si>
  <si>
    <t xml:space="preserve">Heptane tank HEP-T02 level</t>
  </si>
  <si>
    <t xml:space="preserve">REC_PURITY</t>
  </si>
  <si>
    <t xml:space="preserve">Recovered heptane purity</t>
  </si>
  <si>
    <t xml:space="preserve">min 98</t>
  </si>
  <si>
    <t xml:space="preserve">CRYST - Crystallization</t>
  </si>
  <si>
    <t xml:space="preserve">Format MCB-26-nnnn</t>
  </si>
  <si>
    <t xml:space="preserve">CRYSTALLIZER</t>
  </si>
  <si>
    <t xml:space="preserve">Crystallizer</t>
  </si>
  <si>
    <t xml:space="preserve">CRY-01 / CRY-02</t>
  </si>
  <si>
    <t xml:space="preserve">SOURCE</t>
  </si>
  <si>
    <t xml:space="preserve">Source LLE campaign(s) / totes</t>
  </si>
  <si>
    <t xml:space="preserve">Organic phase charged (MIT equiv.)</t>
  </si>
  <si>
    <t xml:space="preserve">DOSE_START</t>
  </si>
  <si>
    <t xml:space="preserve">Base dose start</t>
  </si>
  <si>
    <t xml:space="preserve">PH_REACHED</t>
  </si>
  <si>
    <t xml:space="preserve">pH 9.3 reached</t>
  </si>
  <si>
    <t xml:space="preserve">PH &gt;= 9.3 for 5 consecutive minutes</t>
  </si>
  <si>
    <t xml:space="preserve">BASE_RECIPE_L</t>
  </si>
  <si>
    <t xml:space="preserve">Base - recipe volume</t>
  </si>
  <si>
    <t xml:space="preserve">BASE_DOSED_L</t>
  </si>
  <si>
    <t xml:space="preserve">Base - dosed total</t>
  </si>
  <si>
    <t xml:space="preserve">Integral of DOSE_RATE</t>
  </si>
  <si>
    <t xml:space="preserve">Final pH</t>
  </si>
  <si>
    <t xml:space="preserve">min 9.3 max 9.9</t>
  </si>
  <si>
    <t xml:space="preserve">T_HOLD</t>
  </si>
  <si>
    <t xml:space="preserve">Temperature at hold</t>
  </si>
  <si>
    <t xml:space="preserve">min 2 max 8</t>
  </si>
  <si>
    <t xml:space="preserve">Hold duration</t>
  </si>
  <si>
    <t xml:space="preserve">min 3.5 max 6</t>
  </si>
  <si>
    <t xml:space="preserve">CRYSTAL_APPEAR</t>
  </si>
  <si>
    <t xml:space="preserve">Crystal appearance</t>
  </si>
  <si>
    <t xml:space="preserve">Pale, granular / Fine / slow settling / Dark / off-colour</t>
  </si>
  <si>
    <t xml:space="preserve">Crystallization yield</t>
  </si>
  <si>
    <t xml:space="preserve">FILTER - Filtration &amp; drying (Nutsche)</t>
  </si>
  <si>
    <t xml:space="preserve">FD_BATCH</t>
  </si>
  <si>
    <t xml:space="preserve">Filter-dryer batch</t>
  </si>
  <si>
    <t xml:space="preserve">Format MFD-26-nnnn</t>
  </si>
  <si>
    <t xml:space="preserve">Source crystallization batch(es)</t>
  </si>
  <si>
    <t xml:space="preserve">FILT_START</t>
  </si>
  <si>
    <t xml:space="preserve">Filtration start</t>
  </si>
  <si>
    <t xml:space="preserve">FILT_END</t>
  </si>
  <si>
    <t xml:space="preserve">Filtration end</t>
  </si>
  <si>
    <t xml:space="preserve">FILT_MIN</t>
  </si>
  <si>
    <t xml:space="preserve">Filtration duration</t>
  </si>
  <si>
    <t xml:space="preserve">max 150</t>
  </si>
  <si>
    <t xml:space="preserve">DP_MAX</t>
  </si>
  <si>
    <t xml:space="preserve">Max filter differential pressure</t>
  </si>
  <si>
    <t xml:space="preserve">bar</t>
  </si>
  <si>
    <t xml:space="preserve">WASH_L</t>
  </si>
  <si>
    <t xml:space="preserve">Heptane cake wash</t>
  </si>
  <si>
    <t xml:space="preserve">DRY_TEMP</t>
  </si>
  <si>
    <t xml:space="preserve">Drying temperature (avg)</t>
  </si>
  <si>
    <t xml:space="preserve">min 40 max 50</t>
  </si>
  <si>
    <t xml:space="preserve">DRY_H</t>
  </si>
  <si>
    <t xml:space="preserve">Drying time</t>
  </si>
  <si>
    <t xml:space="preserve">LOD</t>
  </si>
  <si>
    <t xml:space="preserve">Loss on drying</t>
  </si>
  <si>
    <t xml:space="preserve">max 0.5</t>
  </si>
  <si>
    <t xml:space="preserve">DRY_KG</t>
  </si>
  <si>
    <t xml:space="preserve">Dry freebase out</t>
  </si>
  <si>
    <t xml:space="preserve">DRUM - Drum</t>
  </si>
  <si>
    <t xml:space="preserve">DRUM_ID</t>
  </si>
  <si>
    <t xml:space="preserve">Drum ID</t>
  </si>
  <si>
    <t xml:space="preserve">Format FBD-26-nnnn</t>
  </si>
  <si>
    <t xml:space="preserve">SOURCE_BATCH</t>
  </si>
  <si>
    <t xml:space="preserve">Source filter-dryer batch</t>
  </si>
  <si>
    <t xml:space="preserve">GROSS_KG</t>
  </si>
  <si>
    <t xml:space="preserve">Gross weight</t>
  </si>
  <si>
    <t xml:space="preserve">TARE_KG</t>
  </si>
  <si>
    <t xml:space="preserve">Tare weight</t>
  </si>
  <si>
    <t xml:space="preserve">NET_KG</t>
  </si>
  <si>
    <t xml:space="preserve">Net weight</t>
  </si>
  <si>
    <t xml:space="preserve">Gross - tare; must match label within +/-0.05 kg</t>
  </si>
  <si>
    <t xml:space="preserve">SEAL_NO</t>
  </si>
  <si>
    <t xml:space="preserve">Seal number</t>
  </si>
  <si>
    <t xml:space="preserve">LABEL_CHECK</t>
  </si>
  <si>
    <t xml:space="preserve">Label matches drum, batch and net weight</t>
  </si>
  <si>
    <t xml:space="preserve">PHOTO</t>
  </si>
  <si>
    <t xml:space="preserve">Label photo</t>
  </si>
  <si>
    <t xml:space="preserve">photo</t>
  </si>
  <si>
    <t xml:space="preserve">SALT - Salt formation</t>
  </si>
  <si>
    <t xml:space="preserve">RUN_ID</t>
  </si>
  <si>
    <t xml:space="preserve">Salt run ID</t>
  </si>
  <si>
    <t xml:space="preserve">Format MAS-26-nnnn</t>
  </si>
  <si>
    <t xml:space="preserve">DRUMS</t>
  </si>
  <si>
    <t xml:space="preserve">Freebase drums consumed</t>
  </si>
  <si>
    <t xml:space="preserve">Scan each drum</t>
  </si>
  <si>
    <t xml:space="preserve">FB_KG</t>
  </si>
  <si>
    <t xml:space="preserve">Freebase charged</t>
  </si>
  <si>
    <t xml:space="preserve">Acetic acid - calculated</t>
  </si>
  <si>
    <t xml:space="preserve">Freebase kg x 0.151 (stoichiometric, demo)</t>
  </si>
  <si>
    <t xml:space="preserve">Acetic acid - actual</t>
  </si>
  <si>
    <t xml:space="preserve">Within +/-2 %</t>
  </si>
  <si>
    <t xml:space="preserve">T_REACT</t>
  </si>
  <si>
    <t xml:space="preserve">Reaction temperature (avg)</t>
  </si>
  <si>
    <t xml:space="preserve">PH_END</t>
  </si>
  <si>
    <t xml:space="preserve">min 4.6 max 5.4</t>
  </si>
  <si>
    <t xml:space="preserve">WET_KG</t>
  </si>
  <si>
    <t xml:space="preserve">Salt output (wet)</t>
  </si>
  <si>
    <t xml:space="preserve">DRY - Vacuum drying</t>
  </si>
  <si>
    <t xml:space="preserve">DRY_ID</t>
  </si>
  <si>
    <t xml:space="preserve">Dryer run ID</t>
  </si>
  <si>
    <t xml:space="preserve">Format MSD-26-nnnn</t>
  </si>
  <si>
    <t xml:space="preserve">Dryer temperature (avg)</t>
  </si>
  <si>
    <t xml:space="preserve">DRY_VAC</t>
  </si>
  <si>
    <t xml:space="preserve">Dryer vacuum (avg)</t>
  </si>
  <si>
    <t xml:space="preserve">max 60</t>
  </si>
  <si>
    <t xml:space="preserve">ASSAY</t>
  </si>
  <si>
    <t xml:space="preserve">MIT acetate assay</t>
  </si>
  <si>
    <t xml:space="preserve">Dry salt out</t>
  </si>
  <si>
    <t xml:space="preserve">AUTO - Auto summary (read-only)</t>
  </si>
  <si>
    <t xml:space="preserve">LINE</t>
  </si>
  <si>
    <t xml:space="preserve">L1 / L2</t>
  </si>
  <si>
    <t xml:space="preserve">SHIFT</t>
  </si>
  <si>
    <t xml:space="preserve">A / B</t>
  </si>
  <si>
    <t xml:space="preserve">Constraint run time</t>
  </si>
  <si>
    <t xml:space="preserve">UNPLANNED_H</t>
  </si>
  <si>
    <t xml:space="preserve">Unplanned downtime (all assets)</t>
  </si>
  <si>
    <t xml:space="preserve">TOP_DT</t>
  </si>
  <si>
    <t xml:space="preserve">Top 3 downtime reasons</t>
  </si>
  <si>
    <t xml:space="preserve">UNTAGGED</t>
  </si>
  <si>
    <t xml:space="preserve">Untagged stops</t>
  </si>
  <si>
    <t xml:space="preserve">max 0</t>
  </si>
  <si>
    <t xml:space="preserve">QL_KG</t>
  </si>
  <si>
    <t xml:space="preserve">Quality loss</t>
  </si>
  <si>
    <t xml:space="preserve">OPEN_DEV</t>
  </si>
  <si>
    <t xml:space="preserve">Open deviations</t>
  </si>
  <si>
    <t xml:space="preserve">BATCHES_WIP</t>
  </si>
  <si>
    <t xml:space="preserve">Batches in progress</t>
  </si>
  <si>
    <t xml:space="preserve">NOTES - Supervisor notes</t>
  </si>
  <si>
    <t xml:space="preserve">SAFETY</t>
  </si>
  <si>
    <t xml:space="preserve">Safety observations</t>
  </si>
  <si>
    <t xml:space="preserve">Handover notes</t>
  </si>
  <si>
    <t xml:space="preserve">ACTIONS</t>
  </si>
  <si>
    <t xml:space="preserve">Pending actions</t>
  </si>
  <si>
    <t xml:space="preserve">OUT_SIGN</t>
  </si>
  <si>
    <t xml:space="preserve">Outgoing supervisor (e-sign)</t>
  </si>
  <si>
    <t xml:space="preserve">IN_SIGN</t>
  </si>
  <si>
    <t xml:space="preserve">Incoming supervisor (e-sign)</t>
  </si>
  <si>
    <t xml:space="preserve">CHECKS - Checks</t>
  </si>
  <si>
    <t xml:space="preserve">VP_OIL</t>
  </si>
  <si>
    <t xml:space="preserve">Vacuum pump oil level / colour</t>
  </si>
  <si>
    <t xml:space="preserve">passfail</t>
  </si>
  <si>
    <t xml:space="preserve">Assets: L2-WFE, L2-VO, L1-SDR, L1-FIL</t>
  </si>
  <si>
    <t xml:space="preserve">CHL_GLYCOL</t>
  </si>
  <si>
    <t xml:space="preserve">Chiller glycol level</t>
  </si>
  <si>
    <t xml:space="preserve">Assets: L2-WFE, L2-ISO, L1-CRY</t>
  </si>
  <si>
    <t xml:space="preserve">COLD_TRAP</t>
  </si>
  <si>
    <t xml:space="preserve">Cold trap condition</t>
  </si>
  <si>
    <t xml:space="preserve">Assets: L2-WFE</t>
  </si>
  <si>
    <t xml:space="preserve">WIPER_NOISE</t>
  </si>
  <si>
    <t xml:space="preserve">Wiper / rotor noise &amp; vibration</t>
  </si>
  <si>
    <t xml:space="preserve">PH_BUFFER</t>
  </si>
  <si>
    <t xml:space="preserve">pH probe buffer verification (pH 7 / 10)</t>
  </si>
  <si>
    <t xml:space="preserve">Assets: L1-CRY, L1-LLE, L1-EXT</t>
  </si>
  <si>
    <t xml:space="preserve">SCALE_VERIF</t>
  </si>
  <si>
    <t xml:space="preserve">Scale verification weight</t>
  </si>
  <si>
    <t xml:space="preserve">Assets: L1-FIL, L2-BUF</t>
  </si>
  <si>
    <t xml:space="preserve">Agitator noise / seal</t>
  </si>
  <si>
    <t xml:space="preserve">Assets: L2-ISO, L2-RXN, L1-CRY, L1-SLT</t>
  </si>
  <si>
    <t xml:space="preserve">LEAKS</t>
  </si>
  <si>
    <t xml:space="preserve">Leaks (solvent / utility)</t>
  </si>
  <si>
    <t xml:space="preserve">HOUSEKEEPING</t>
  </si>
  <si>
    <t xml:space="preserve">Housekeeping</t>
  </si>
  <si>
    <t xml:space="preserve">Photo of failed item</t>
  </si>
  <si>
    <t xml:space="preserve">Required when any item = Fail</t>
  </si>
  <si>
    <t xml:space="preserve">REMARKS</t>
  </si>
  <si>
    <t xml:space="preserve">Remarks</t>
  </si>
  <si>
    <t xml:space="preserve">CAL - Calibration</t>
  </si>
  <si>
    <t xml:space="preserve">INSTRUMENT</t>
  </si>
  <si>
    <t xml:space="preserve">Instrument / tag</t>
  </si>
  <si>
    <t xml:space="preserve">Asset</t>
  </si>
  <si>
    <t xml:space="preserve">STANDARD</t>
  </si>
  <si>
    <t xml:space="preserve">Reference standard ID</t>
  </si>
  <si>
    <t xml:space="preserve">AS_FOUND</t>
  </si>
  <si>
    <t xml:space="preserve">As-found reading</t>
  </si>
  <si>
    <t xml:space="preserve">AS_LEFT</t>
  </si>
  <si>
    <t xml:space="preserve">As-left reading</t>
  </si>
  <si>
    <t xml:space="preserve">REFERENCE</t>
  </si>
  <si>
    <t xml:space="preserve">Reference value</t>
  </si>
  <si>
    <t xml:space="preserve">TOLERANCE</t>
  </si>
  <si>
    <t xml:space="preserve">Tolerance (+/-)</t>
  </si>
  <si>
    <t xml:space="preserve">RESULT</t>
  </si>
  <si>
    <t xml:space="preserve">Result</t>
  </si>
  <si>
    <t xml:space="preserve">|as-found - reference| &lt;= tolerance</t>
  </si>
  <si>
    <t xml:space="preserve">NEXT_DUE</t>
  </si>
  <si>
    <t xml:space="preserve">Next due</t>
  </si>
  <si>
    <t xml:space="preserve">TECH</t>
  </si>
  <si>
    <t xml:space="preserve">Technician (e-sign)</t>
  </si>
  <si>
    <t xml:space="preserve">BAL - Heptane balance</t>
  </si>
  <si>
    <t xml:space="preserve">DAY</t>
  </si>
  <si>
    <t xml:space="preserve">Production day</t>
  </si>
  <si>
    <t xml:space="preserve">OPEN_L</t>
  </si>
  <si>
    <t xml:space="preserve">Opening inventory (HEP-T01 + T02)</t>
  </si>
  <si>
    <t xml:space="preserve">RECEIPT_L</t>
  </si>
  <si>
    <t xml:space="preserve">Fresh receipts</t>
  </si>
  <si>
    <t xml:space="preserve">erp</t>
  </si>
  <si>
    <t xml:space="preserve">RECOVERED_L</t>
  </si>
  <si>
    <t xml:space="preserve">Recovered (SRU totaliser)</t>
  </si>
  <si>
    <t xml:space="preserve">TO_LLE_L</t>
  </si>
  <si>
    <t xml:space="preserve">Issued to LLE</t>
  </si>
  <si>
    <t xml:space="preserve">TO_WASH_L</t>
  </si>
  <si>
    <t xml:space="preserve">Issued to crystallization / cake wash</t>
  </si>
  <si>
    <t xml:space="preserve">CLOSE_L</t>
  </si>
  <si>
    <t xml:space="preserve">Closing inventory</t>
  </si>
  <si>
    <t xml:space="preserve">LOSS_L</t>
  </si>
  <si>
    <t xml:space="preserve">Calculated loss</t>
  </si>
  <si>
    <t xml:space="preserve">Issued to LLE + wash - recovered (tank gap reported separately)</t>
  </si>
  <si>
    <t xml:space="preserve">MIT_KG</t>
  </si>
  <si>
    <t xml:space="preserve">MIT freebase produced</t>
  </si>
  <si>
    <t xml:space="preserve">LOSS_PER_KG</t>
  </si>
  <si>
    <t xml:space="preserve">Heptane loss per kg MIT</t>
  </si>
  <si>
    <t xml:space="preserve">L/kg</t>
  </si>
  <si>
    <t xml:space="preserve">max 4</t>
  </si>
  <si>
    <t xml:space="preserve">CLEAN - Cleaning</t>
  </si>
  <si>
    <t xml:space="preserve">PREV_BATCH</t>
  </si>
  <si>
    <t xml:space="preserve">Previous batch</t>
  </si>
  <si>
    <t xml:space="preserve">PREV_PRODUCT</t>
  </si>
  <si>
    <t xml:space="preserve">Previous product</t>
  </si>
  <si>
    <t xml:space="preserve">METHOD</t>
  </si>
  <si>
    <t xml:space="preserve">Cleaning method</t>
  </si>
  <si>
    <t xml:space="preserve">Heptane flush / Ethanol rinse / Hot water + detergent / Dry wipe-down</t>
  </si>
  <si>
    <t xml:space="preserve">START</t>
  </si>
  <si>
    <t xml:space="preserve">Start</t>
  </si>
  <si>
    <t xml:space="preserve">END</t>
  </si>
  <si>
    <t xml:space="preserve">End</t>
  </si>
  <si>
    <t xml:space="preserve">VISUAL_CLEAN</t>
  </si>
  <si>
    <t xml:space="preserve">Visually clean</t>
  </si>
  <si>
    <t xml:space="preserve">RELEASED_BY</t>
  </si>
  <si>
    <t xml:space="preserve">Released for next batch (e-sign)</t>
  </si>
  <si>
    <t xml:space="preserve">Step 1.10 - Sign-off, blocking and escalation rules per form</t>
  </si>
  <si>
    <t xml:space="preserve">Sign-off chain</t>
  </si>
  <si>
    <t xml:space="preserve">Blocking rules</t>
  </si>
  <si>
    <t xml:space="preserve">Escalation</t>
  </si>
  <si>
    <t xml:space="preserve">Record model</t>
  </si>
  <si>
    <t xml:space="preserve">Governing SOP</t>
  </si>
  <si>
    <t xml:space="preserve">Perform (Operator) -&gt; Review (Shift Supervisor) -&gt; Approve (QA)</t>
  </si>
  <si>
    <t xml:space="preserve">Any live value outside min/max blocks submit until comment + deviation link | Check row cannot be submitted &gt; 30 min after due without late-entry reason</t>
  </si>
  <si>
    <t xml:space="preserve">Logbook entry overdue (2-h check): Operator @ due+10 min, Supervisor @ +30 min, Production Manager @ +2 h</t>
  </si>
  <si>
    <t xml:space="preserve">One record per 1M batch; one entry per 2-hour check row + one close entry</t>
  </si>
  <si>
    <t xml:space="preserve">SOP-BIP-004 / SOP-BIP-006 (governing scope unresolved)</t>
  </si>
  <si>
    <t xml:space="preserve">Vacuum &gt; 0.05 mbar blocks submit until comment + deviation | D9 THC above limit forces batch HOLD (QA only can release)</t>
  </si>
  <si>
    <t xml:space="preserve">Same as FOR-BIP-009; constraint-asset downtime linked from entry</t>
  </si>
  <si>
    <t xml:space="preserve">One record per 2M batch; one entry per 2-hour check row + oil additions + one close entry</t>
  </si>
  <si>
    <t xml:space="preserve">Crash endpoint &gt; -18 degC blocks close until deviation raised (Critical) | Visual fields cannot be auto-filled | Yellow isolate forces Quality Loss record QL2-07</t>
  </si>
  <si>
    <t xml:space="preserve">Critical deviation: Operator + Supervisor + QA at T+0; Production Manager @ 15 min unacknowledged</t>
  </si>
  <si>
    <t xml:space="preserve">One record per reactor batch; one crash block per crash (batch IDs ...-C1..C4)</t>
  </si>
  <si>
    <t xml:space="preserve">Pre-acid temperature outside 50-55 degC blocks acid-in attest (Major deviation) | Cook in-band &lt; 95 % requires comment | All 3 washes mandatory before close</t>
  </si>
  <si>
    <t xml:space="preserve">Major deviation: Operator, Supervisor @ 15 min, QA @ 1 h, Production Manager @ 4 h</t>
  </si>
  <si>
    <t xml:space="preserve">One record per reaction batch (D8-YYMMDD-NN)</t>
  </si>
  <si>
    <t xml:space="preserve">Perform (Operator) -&gt; Review (Shift Supervisor)</t>
  </si>
  <si>
    <t xml:space="preserve">Liquor pH outside 3.0-4.0 requires comment (QL1-03 rework)</t>
  </si>
  <si>
    <t xml:space="preserve">Edge DISC &gt; 10 min: OBX IT/OT + Faclon support, Supervisor @ 30 min</t>
  </si>
  <si>
    <t xml:space="preserve">One record per extraction cycle (KX-Txx-YYMMDD-n)</t>
  </si>
  <si>
    <t xml:space="preserve">OBX kratom extraction work instruction (number TBC)</t>
  </si>
  <si>
    <t xml:space="preserve">Emulsion = Yes requires Quality Loss QL1-04 or comment | Condenser outlet &gt; 30 degC raises Minor deviation (solvent slip)</t>
  </si>
  <si>
    <t xml:space="preserve">Heptane loss &gt; target for lot: Production Manager on lot close; Plant Head weekly digest</t>
  </si>
  <si>
    <t xml:space="preserve">One entry every 4 h while LLE is in CONTACT</t>
  </si>
  <si>
    <t xml:space="preserve">OBX LLE / solvent recovery work instruction (number TBC)</t>
  </si>
  <si>
    <t xml:space="preserve">Final pH outside 9.3-9.9 requires deviation (links pH-probe calibration LOG-CAL) | LOD &gt; 0.5 % blocks drumming (QL1-08 rework)</t>
  </si>
  <si>
    <t xml:space="preserve">Major deviation path; batch record review pending: Supervisor @ close+4 h, QA @ +24 h</t>
  </si>
  <si>
    <t xml:space="preserve">Crystallization section per MCB batch; Filter/dry section per MFD batch (linked by genealogy)</t>
  </si>
  <si>
    <t xml:space="preserve">OBX crystallization work instruction (number TBC)</t>
  </si>
  <si>
    <t xml:space="preserve">Perform (Operator) -&gt; Verify (Shift Supervisor)</t>
  </si>
  <si>
    <t xml:space="preserve">Drum not linked to a released MFD batch cannot be saved (QL1-11 genealogy mismatch)</t>
  </si>
  <si>
    <t xml:space="preserve">Genealogy mismatch: QA + Plant Head at T+0</t>
  </si>
  <si>
    <t xml:space="preserve">One entry per drum (FBD-26-nnnn)</t>
  </si>
  <si>
    <t xml:space="preserve">OBX drumming &amp; labelling work instruction (number TBC)</t>
  </si>
  <si>
    <t xml:space="preserve">Assay &lt; 98.0 % forces Quality Loss QL1-12 | Final pH out of range requires comment</t>
  </si>
  <si>
    <t xml:space="preserve">Batch record review pending: Supervisor @ close+4 h, QA @ +24 h, PM @ +72 h</t>
  </si>
  <si>
    <t xml:space="preserve">Salt section per MAS run; Dry section per MSD run</t>
  </si>
  <si>
    <t xml:space="preserve">OBX salt formation work instruction (number TBC)</t>
  </si>
  <si>
    <t xml:space="preserve">Perform (Shift Supervisor) -&gt; Review (Shift Supervisor)</t>
  </si>
  <si>
    <t xml:space="preserve">Cannot sign while untagged stops &gt; 0 on the shift unless each is acknowledged</t>
  </si>
  <si>
    <t xml:space="preserve">Untagged downtime at shift end: Supervisor @ shift end + 30 min</t>
  </si>
  <si>
    <t xml:space="preserve">One record per line per shift</t>
  </si>
  <si>
    <t xml:space="preserve">Any Fail requires photo + remark and creates a maintenance request</t>
  </si>
  <si>
    <t xml:space="preserve">Daily checklist not done: Operator @ shift end, Supervisor @ +1 h, Production Manager @ +24 h</t>
  </si>
  <si>
    <t xml:space="preserve">One record per asset per shift</t>
  </si>
  <si>
    <t xml:space="preserve">Perform (Operator) -&gt; Approve (QA)</t>
  </si>
  <si>
    <t xml:space="preserve">As-found fail triggers impact assessment on batches since last pass (links deviations)</t>
  </si>
  <si>
    <t xml:space="preserve">As-found fail: QA at T+0</t>
  </si>
  <si>
    <t xml:space="preserve">One record per calibration event</t>
  </si>
  <si>
    <t xml:space="preserve">Perform (Operator) -&gt; Review (Production Manager)</t>
  </si>
  <si>
    <t xml:space="preserve">Loss per kg above target requires comment</t>
  </si>
  <si>
    <t xml:space="preserve">Heptane loss &gt; target: Production Manager on lot close</t>
  </si>
  <si>
    <t xml:space="preserve">One record per production day</t>
  </si>
  <si>
    <t xml:space="preserve">Next batch cannot start on the asset until RELEASED_BY is signed</t>
  </si>
  <si>
    <t xml:space="preserve">None (informational)</t>
  </si>
  <si>
    <t xml:space="preserve">One record per CLEAN phase / changeover</t>
  </si>
  <si>
    <t xml:space="preserve">Step 1.11 - One filled example of every form (from the 678 generated entries)</t>
  </si>
  <si>
    <t xml:space="preserve">Full set: seed-data/sample/logbook_entries.json. Values come from the same synthetic process signals as the dashboards, so forms, trends and deviations agree.</t>
  </si>
  <si>
    <t xml:space="preserve">Entry ID</t>
  </si>
  <si>
    <t xml:space="preserve">Batch</t>
  </si>
  <si>
    <t xml:space="preserve">Status</t>
  </si>
  <si>
    <t xml:space="preserve">Row</t>
  </si>
  <si>
    <t xml:space="preserve">Value</t>
  </si>
  <si>
    <t xml:space="preserve">Source</t>
  </si>
  <si>
    <t xml:space="preserve">Limit check</t>
  </si>
  <si>
    <t xml:space="preserve">LB-000860</t>
  </si>
  <si>
    <t xml:space="preserve">A</t>
  </si>
  <si>
    <t xml:space="preserve">Due</t>
  </si>
  <si>
    <t xml:space="preserve">AUTO</t>
  </si>
  <si>
    <t xml:space="preserve">8</t>
  </si>
  <si>
    <t xml:space="preserve">18.7</t>
  </si>
  <si>
    <t xml:space="preserve">M103 Tote not available (2.4 h); X101 Weather hold - lightning / storm (2.3 h); E203 Agitator fault (1.8 h)</t>
  </si>
  <si>
    <t xml:space="preserve">2</t>
  </si>
  <si>
    <t xml:space="preserve">OUT OF LIMIT</t>
  </si>
  <si>
    <t xml:space="preserve">0</t>
  </si>
  <si>
    <t xml:space="preserve">KX-T01-260922-1, KX-T02-260922-2, KX-T03-260922-2, KX-T04-260922-2, LLE-260921-1, SRU-260922-1, MCB-26-0191, MCB-26-0221</t>
  </si>
  <si>
    <t xml:space="preserve">No incidents.</t>
  </si>
  <si>
    <t xml:space="preserve">LB-000575</t>
  </si>
  <si>
    <t xml:space="preserve">ISO-A-260920-01-C2</t>
  </si>
  <si>
    <t xml:space="preserve">B</t>
  </si>
  <si>
    <t xml:space="preserve">Submitted</t>
  </si>
  <si>
    <t xml:space="preserve">HEADER</t>
  </si>
  <si>
    <t xml:space="preserve">ISO-A</t>
  </si>
  <si>
    <t xml:space="preserve">ISO-A-260919-01-C1, 2M-260913-01, 2M-260916-01</t>
  </si>
  <si>
    <t xml:space="preserve">16.7</t>
  </si>
  <si>
    <t xml:space="preserve">CHARGE</t>
  </si>
  <si>
    <t xml:space="preserve">41.8</t>
  </si>
  <si>
    <t xml:space="preserve">41.9</t>
  </si>
  <si>
    <t xml:space="preserve">CRASH</t>
  </si>
  <si>
    <t xml:space="preserve">48.2</t>
  </si>
  <si>
    <t xml:space="preserve">2026-09-21T06:57:14.860Z</t>
  </si>
  <si>
    <t xml:space="preserve">2026-09-21T22:08:36.993Z</t>
  </si>
  <si>
    <t xml:space="preserve">2026-09-22T01:01:23.656Z</t>
  </si>
  <si>
    <t xml:space="preserve">2026-09-22T14:12:24.587Z</t>
  </si>
  <si>
    <t xml:space="preserve">-21.4</t>
  </si>
  <si>
    <t xml:space="preserve">10</t>
  </si>
  <si>
    <t xml:space="preserve">2026-09-22T16:41:00.519Z</t>
  </si>
  <si>
    <t xml:space="preserve">2026-09-22T17:21:00.519Z</t>
  </si>
  <si>
    <t xml:space="preserve">2026-09-22T18:01:00.519Z</t>
  </si>
  <si>
    <t xml:space="preserve">True</t>
  </si>
  <si>
    <t xml:space="preserve">2026-09-22T19:08:26.669Z</t>
  </si>
  <si>
    <t xml:space="preserve">2026-09-23T10:15:06.727Z</t>
  </si>
  <si>
    <t xml:space="preserve">VO-01</t>
  </si>
  <si>
    <t xml:space="preserve">9.86</t>
  </si>
  <si>
    <t xml:space="preserve">65.7</t>
  </si>
  <si>
    <t xml:space="preserve">White</t>
  </si>
  <si>
    <t xml:space="preserve">Dry</t>
  </si>
  <si>
    <t xml:space="preserve">Free-flowing crystals</t>
  </si>
  <si>
    <t xml:space="preserve">LB-000432</t>
  </si>
  <si>
    <t xml:space="preserve">KX-T03-260922-1</t>
  </si>
  <si>
    <t xml:space="preserve">T03</t>
  </si>
  <si>
    <t xml:space="preserve">BM-26-0054</t>
  </si>
  <si>
    <t xml:space="preserve">1010</t>
  </si>
  <si>
    <t xml:space="preserve">STEPS</t>
  </si>
  <si>
    <t xml:space="preserve">2026-09-22T08:30:31.210Z</t>
  </si>
  <si>
    <t xml:space="preserve">2026-09-22T10:03:06.969Z</t>
  </si>
  <si>
    <t xml:space="preserve">2026-09-22T15:40:11.008Z</t>
  </si>
  <si>
    <t xml:space="preserve">2026-09-22T19:11:16.954Z</t>
  </si>
  <si>
    <t xml:space="preserve">2026-09-22T20:11:15.900Z</t>
  </si>
  <si>
    <t xml:space="preserve">11.68</t>
  </si>
  <si>
    <t xml:space="preserve">PROCESS</t>
  </si>
  <si>
    <t xml:space="preserve">59.5</t>
  </si>
  <si>
    <t xml:space="preserve">3.49</t>
  </si>
  <si>
    <t xml:space="preserve">184</t>
  </si>
  <si>
    <t xml:space="preserve">7620</t>
  </si>
  <si>
    <t xml:space="preserve">TOTE-0513, TOTE-0514</t>
  </si>
  <si>
    <t xml:space="preserve">CLOSE</t>
  </si>
  <si>
    <t xml:space="preserve">False</t>
  </si>
  <si>
    <t xml:space="preserve">LB-000077</t>
  </si>
  <si>
    <t xml:space="preserve">1M-260920-01</t>
  </si>
  <si>
    <t xml:space="preserve">CR-26-0361, WDC-26-0153</t>
  </si>
  <si>
    <t xml:space="preserve">2026-09-21T02:59:57.667Z</t>
  </si>
  <si>
    <t xml:space="preserve">CHECK</t>
  </si>
  <si>
    <t xml:space="preserve">2026-09-22T20:00:00.000Z</t>
  </si>
  <si>
    <t xml:space="preserve">300</t>
  </si>
  <si>
    <t xml:space="preserve">298</t>
  </si>
  <si>
    <t xml:space="preserve">5</t>
  </si>
  <si>
    <t xml:space="preserve">5.02</t>
  </si>
  <si>
    <t xml:space="preserve">Steady flow</t>
  </si>
  <si>
    <t xml:space="preserve">0.982</t>
  </si>
  <si>
    <t xml:space="preserve">150</t>
  </si>
  <si>
    <t xml:space="preserve">149.2</t>
  </si>
  <si>
    <t xml:space="preserve">50</t>
  </si>
  <si>
    <t xml:space="preserve">-10</t>
  </si>
  <si>
    <t xml:space="preserve">-9</t>
  </si>
  <si>
    <t xml:space="preserve">EXCEPTIONS</t>
  </si>
  <si>
    <t xml:space="preserve">LB-000155</t>
  </si>
  <si>
    <t xml:space="preserve">2M-260920-01</t>
  </si>
  <si>
    <t xml:space="preserve">Reviewed</t>
  </si>
  <si>
    <t xml:space="preserve">1M-260914-01, 1M-260916-01</t>
  </si>
  <si>
    <t xml:space="preserve">2026-09-21T03:06:24.492Z</t>
  </si>
  <si>
    <t xml:space="preserve">3.5</t>
  </si>
  <si>
    <t xml:space="preserve">Slow flow</t>
  </si>
  <si>
    <t xml:space="preserve">0.182</t>
  </si>
  <si>
    <t xml:space="preserve">175</t>
  </si>
  <si>
    <t xml:space="preserve">176.5</t>
  </si>
  <si>
    <t xml:space="preserve">70</t>
  </si>
  <si>
    <t xml:space="preserve">24.2</t>
  </si>
  <si>
    <t xml:space="preserve">-15</t>
  </si>
  <si>
    <t xml:space="preserve">-14.2</t>
  </si>
  <si>
    <t xml:space="preserve">DEV-L2-0134</t>
  </si>
  <si>
    <t xml:space="preserve">Asset down (E102) at check time - values not representative of steady feed. Linked downtime EV-L2-010510.</t>
  </si>
  <si>
    <t xml:space="preserve">LB-000521</t>
  </si>
  <si>
    <t xml:space="preserve">MFD-26-0190</t>
  </si>
  <si>
    <t xml:space="preserve">FILTER</t>
  </si>
  <si>
    <t xml:space="preserve">MCB-26-0218, MCB-26-0219</t>
  </si>
  <si>
    <t xml:space="preserve">2026-09-22T06:27:59.439Z</t>
  </si>
  <si>
    <t xml:space="preserve">2026-09-22T10:01:07.174Z</t>
  </si>
  <si>
    <t xml:space="preserve">213</t>
  </si>
  <si>
    <t xml:space="preserve">0.91</t>
  </si>
  <si>
    <t xml:space="preserve">23.1</t>
  </si>
  <si>
    <t xml:space="preserve">46.5</t>
  </si>
  <si>
    <t xml:space="preserve">8.7</t>
  </si>
  <si>
    <t xml:space="preserve">0.17</t>
  </si>
  <si>
    <t xml:space="preserve">28.37</t>
  </si>
  <si>
    <t xml:space="preserve">LB-000659</t>
  </si>
  <si>
    <t xml:space="preserve">D8-260921-03</t>
  </si>
  <si>
    <t xml:space="preserve">RXN-3</t>
  </si>
  <si>
    <t xml:space="preserve">VO2-260917-01, VO2-260919-01</t>
  </si>
  <si>
    <t xml:space="preserve">18.6</t>
  </si>
  <si>
    <t xml:space="preserve">RECIPE</t>
  </si>
  <si>
    <t xml:space="preserve">74.4</t>
  </si>
  <si>
    <t xml:space="preserve">74.5</t>
  </si>
  <si>
    <t xml:space="preserve">0.93</t>
  </si>
  <si>
    <t xml:space="preserve">0.936</t>
  </si>
  <si>
    <t xml:space="preserve">MILESTONES</t>
  </si>
  <si>
    <t xml:space="preserve">2026-09-22T03:28:11.477Z</t>
  </si>
  <si>
    <t xml:space="preserve">51.1</t>
  </si>
  <si>
    <t xml:space="preserve">2026-09-22T06:53:37.645Z</t>
  </si>
  <si>
    <t xml:space="preserve">69.5</t>
  </si>
  <si>
    <t xml:space="preserve">2026-09-22T07:32:02.278Z</t>
  </si>
  <si>
    <t xml:space="preserve">18.4</t>
  </si>
  <si>
    <t xml:space="preserve">7</t>
  </si>
  <si>
    <t xml:space="preserve">90</t>
  </si>
  <si>
    <t xml:space="preserve">2026-09-22T07:32:32.156Z</t>
  </si>
  <si>
    <t xml:space="preserve">2026-09-22T11:50:45.394Z</t>
  </si>
  <si>
    <t xml:space="preserve">98.9</t>
  </si>
  <si>
    <t xml:space="preserve">WASH</t>
  </si>
  <si>
    <t xml:space="preserve">1</t>
  </si>
  <si>
    <t xml:space="preserve">5.2</t>
  </si>
  <si>
    <t xml:space="preserve">3.6</t>
  </si>
  <si>
    <t xml:space="preserve">2026-09-22T13:07:59.137Z</t>
  </si>
  <si>
    <t xml:space="preserve">3</t>
  </si>
  <si>
    <t xml:space="preserve">6.4</t>
  </si>
  <si>
    <t xml:space="preserve">2026-09-22T14:20:52.278Z</t>
  </si>
  <si>
    <t xml:space="preserve">16.66</t>
  </si>
  <si>
    <t xml:space="preserve">89.6</t>
  </si>
  <si>
    <t xml:space="preserve">LB-000660</t>
  </si>
  <si>
    <t xml:space="preserve">CLEAN</t>
  </si>
  <si>
    <t xml:space="preserve">Ethanol rinse</t>
  </si>
  <si>
    <t xml:space="preserve">2026-09-22T18:43:22.642Z</t>
  </si>
  <si>
    <t xml:space="preserve">2026-09-22T19:24:43.587Z</t>
  </si>
  <si>
    <t xml:space="preserve">LB-000357</t>
  </si>
  <si>
    <t xml:space="preserve">Approved</t>
  </si>
  <si>
    <t xml:space="preserve">CHECKS</t>
  </si>
  <si>
    <t xml:space="preserve">Pass</t>
  </si>
  <si>
    <t xml:space="preserve">Oil amber, level OK</t>
  </si>
  <si>
    <t xml:space="preserve">LB-000831</t>
  </si>
  <si>
    <t xml:space="preserve">LLE-260921-1</t>
  </si>
  <si>
    <t xml:space="preserve">2026-09-22T16:00:00.000Z</t>
  </si>
  <si>
    <t xml:space="preserve">21.4</t>
  </si>
  <si>
    <t xml:space="preserve">40.4</t>
  </si>
  <si>
    <t xml:space="preserve">0.53</t>
  </si>
  <si>
    <t xml:space="preserve">9.76</t>
  </si>
  <si>
    <t xml:space="preserve">Sharp</t>
  </si>
  <si>
    <t xml:space="preserve">5136</t>
  </si>
  <si>
    <t xml:space="preserve">SRU</t>
  </si>
  <si>
    <t xml:space="preserve">99.8</t>
  </si>
  <si>
    <t xml:space="preserve">24</t>
  </si>
  <si>
    <t xml:space="preserve">713</t>
  </si>
  <si>
    <t xml:space="preserve">54</t>
  </si>
  <si>
    <t xml:space="preserve">31</t>
  </si>
  <si>
    <t xml:space="preserve">99.6</t>
  </si>
  <si>
    <t xml:space="preserve">LB-000556</t>
  </si>
  <si>
    <t xml:space="preserve">MSD-26-0074</t>
  </si>
  <si>
    <t xml:space="preserve">DRY</t>
  </si>
  <si>
    <t xml:space="preserve">51.3</t>
  </si>
  <si>
    <t xml:space="preserve">42</t>
  </si>
  <si>
    <t xml:space="preserve">19.8</t>
  </si>
  <si>
    <t xml:space="preserve">0.27</t>
  </si>
  <si>
    <t xml:space="preserve">99.3</t>
  </si>
  <si>
    <t xml:space="preserve">39.38</t>
  </si>
  <si>
    <t xml:space="preserve">LB-000519</t>
  </si>
  <si>
    <t xml:space="preserve">MFD-26-0189</t>
  </si>
  <si>
    <t xml:space="preserve">DRUM</t>
  </si>
  <si>
    <t xml:space="preserve">FBD-26-4378</t>
  </si>
  <si>
    <t xml:space="preserve">33.35</t>
  </si>
  <si>
    <t xml:space="preserve">8.35</t>
  </si>
  <si>
    <t xml:space="preserve">25</t>
  </si>
  <si>
    <t xml:space="preserve">S-191659</t>
  </si>
  <si>
    <t xml:space="preserve">LB-000868</t>
  </si>
  <si>
    <t xml:space="preserve">BAL</t>
  </si>
  <si>
    <t xml:space="preserve">2026-09-20T20:20:00.000Z</t>
  </si>
  <si>
    <t xml:space="preserve">22195</t>
  </si>
  <si>
    <t xml:space="preserve">10541</t>
  </si>
  <si>
    <t xml:space="preserve">10660</t>
  </si>
  <si>
    <t xml:space="preserve">22046</t>
  </si>
  <si>
    <t xml:space="preserve">143</t>
  </si>
  <si>
    <t xml:space="preserve">30.2</t>
  </si>
  <si>
    <t xml:space="preserve">4.73</t>
  </si>
  <si>
    <t xml:space="preserve">LB-000878</t>
  </si>
  <si>
    <t xml:space="preserve">CAL</t>
  </si>
  <si>
    <t xml:space="preserve">L1-EXT-T02.PH</t>
  </si>
  <si>
    <t xml:space="preserve">pH buffer 4.01 lot A-1180</t>
  </si>
  <si>
    <t xml:space="preserve">4.05</t>
  </si>
  <si>
    <t xml:space="preserve">4.01</t>
  </si>
  <si>
    <t xml:space="preserve">0.05</t>
  </si>
  <si>
    <t xml:space="preserve">2026-09-26T00:11:34.874Z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</si>
</sst>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335"/>
      <name val="Arial"/>
      <family val="0"/>
      <charset val="1"/>
    </font>
    <font>
      <i val="true"/>
      <sz val="9"/>
      <color rgb="FF5A6B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32335"/>
      <name val="[{'formNo': 'FOR-BIP-009', 'title': '1M Distillation Log', 'revision': 'Rev. 2', 'effective': '2025-11-17', 'assets': ['L2-WFE-1M'], 'level': 'entry', 'everyH': 2, 'demo': False, 'purpose': 'Record 1M wiped-film deterpenation run: setpoints vs actuals every 2 h, mass in/out, shift handoff.', 'governingSop': ['SOP-BIP-004 / SOP-BIP-006 (governing scope unresolved)'], 'recordModel': 'One record per 1M batch; one entry per 2-hour check row + one close entry', 'demoLayout': True, 'sections': [{'id': 'HEADER', 'title': 'Batch header', 'fields': [{'key': 'BATCH_ID', 'label': 'Distillation batch ID', 'type': 'id', 'capture': 'genealogy', 'source': 'ERP', 'required': True, 'help': 'Format 1M-YYMMDD-NN'}, {'key': 'INPUT_LOTS', 'label': 'Source crude / WDC lot(s)', 'type': 'multiselect', 'capture': 'genealogy', 'source': 'ERP', 'required': True}, {'key': 'ASSET', 'label': 'Equipment', 'type': 'text', 'capture': 'system', 'source': 'Calculated', 'required': True}, {'key': 'START_TIME', 'label': 'Run start', 'type': 'datetime', 'capture': 'milestone', 'source': 'Calculated', 'required': True, 'rule': 'First STEADY FEED timestamp from state engine'}]}, {'id': 'HANDOFF', 'title': 'Shift handoff', 'fields': [{'key': 'OUT_OPERATOR', 'label': 'Outgoing operator', 'type': 'esign', 'capture': 'manual', 'source': 'Manual', 'required': True}, {'key': 'IN_OPERATOR', 'label': 'Incoming operator', 'type': 'esign', 'capture': 'manual', 'source': 'Manual', 'required': True}, {'key': 'HANDOFF_TIME', 'label': 'Handoff time', 'type': 'datetime', 'capture': 'manual', 'source': 'Manual', 'required': True}, {'key': 'HANDOFF_NOTES', 'label': 'Handoff notes', 'type': 'longtext', 'capture': 'manual', 'source': 'Manual', 'required': False}]}, {'id': 'CHECK', 'title': '2-hour check', 'repeat': {'min': 1, 'max': 12, 'label': 'Check'}, 'fields': [{'key': 'CHECK_TIME', 'label': 'Check time', 'type': 'datetime', 'capture': 'system', 'source': 'Calculated', 'required': True}, {'key': 'WIPER_SP', 'label': 'Wiper speed SP', 'type': 'number', 'capture': 'live', 'source': 'Controller', 'required': True, 'unit': 'rpm', 'target': 300, 'decimals': 1, 'help': 'Setpoint read from controller'}, {'key': 'WIPER_PV', 'label': 'Wiper speed actual', 'type': 'number', 'capture': 'live', 'source': 'Controller', 'required': True, 'tag': 'WIPER_PV', 'unit': 'rpm', 'decimals': 0, 'min': 280, 'max': 320}, {'key': 'FEED_SP', 'label': 'Feed rate SP', 'type': 'number', 'capture': 'live', 'source': 'Controller', 'required': True, 'unit': 'kg/h', 'target': 5, 'decimals': 1, 'help': 'Setpoint read from controller'}, {'key': 'FEED_PV', 'label': 'Feed rate actual', 'type': 'number', 'capture': 'live', 'source': 'Controller', 'required': True, 'tag': 'FEED_PV', 'unit': 'kg/h', 'decimals': 2, 'min': 4, 'max': 6}, {'key': 'RUNOFF', 'label': 'Run-off observation', 'type': 'select', 'capture': 'manual', 'source': 'Manual', 'required': True, 'options': ['Steady flow', 'Slow flow', 'Intermittent', 'No flow']}, {'key': 'RUNOFF_TARGET', 'label': 'Target (per SOP)', 'type': 'text', 'capture': 'system', 'source': 'Calculated', 'required': False, 'help': 'Displayed from SOP; confirm column meaning with OBX'}, {'key': 'VAC_PV', 'label': 'Vacuum', 'type': 'number', 'capture': 'live', 'source': 'Controller', 'required': True, 'tag': 'VAC_PV', 'unit': 'mbar', 'decimals': 3, 'max': 1.5}, {'key': 'EVAP_SP', 'label': 'Evaporator temp SP', 'type': 'number', 'capture': 'live', 'source': 'Controller', 'required': True, 'unit': 'degC', 'target': 150, 'decimals': 1, 'help': 'Setpoint read from controller'}, {'key': 'EVAP_PV', 'label': 'Evaporator temp actual', 'type': 'number', 'capture': 'live', 'source': 'Controller', 'required': True, 'tag': 'EVAP_PV', 'unit': 'degC', 'decimals': 1, 'min': 145, 'max': 155}, {'key': 'COND_SP', 'label': 'Condenser temp SP', 'type': 'number', 'capture': 'live', 'source': 'Controller', 'required': True, 'unit': 'degC', 'target': 50, 'decimals': 1, 'help': 'Setpoint read from controller'}, {'key': 'COND_PV', 'label': 'Condenser temp actual', 'type': 'number', 'capture': 'live', 'source': 'Controller', 'required': True, 'tag': 'COND_PV', 'unit': 'degC', 'decimals': 1, 'min': 45, 'max': 55}, {'key': 'CHL_SP', 'label': 'Chiller temp SP', 'type': 'number', 'capture': 'live', 'source': 'Controller', 'required': True, 'unit': 'degC', 'target': -10, 'decimals': 1, 'help': 'Setpoint read from controller'}, {'key': 'CHL_PV', 'label': 'Chiller temp actual', 'type': 'number', 'capture': 'live', 'source': 'Controller', 'required': True, 'tag': 'CHL_PV', 'unit': 'degC', 'decimals': 1, 'min': -15, 'max': -5}, {'key': 'ACK', 'label': 'Operator acknowledges auto values', 'type': 'attest', 'capture': 'manual', 'source': 'Manual', 'required': True}, {'key': 'INITIALS', 'label': 'Operator initials (e-sign)', 'type': 'esign', 'capture': 'manual', 'source': 'Manual', 'required': True}]}, {'id': 'CLOSE', 'title': 'Mass &amp; timing (batch close)', 'fields': [{'key': 'MASS_IN', 'label': 'Mass in', 'type': 'number', 'capture': 'scale', 'source': 'Scale', 'required': True, 'unit': 'kg', 'decimals': 1}, {'key': 'MASS_DIST', 'label': 'Mass distillate (terpene cut)', 'type': 'number', 'capture': 'scale', 'source': 'Scale', 'required': True, 'unit': 'kg', 'decimals': 1}, {'key': 'MASS_RES', 'label': 'Mass residue (run-off to 2M)', 'type': 'number', 'capture': 'scale', 'source': 'Scale', 'required': True, 'unit': 'kg', 'decimals': 1}, {'key': 'MASS_BAL', 'label': 'Mass balance', 'type': 'number', 'capture': 'calc', 'source': 'Calculated', 'required': True, 'unit': '%', 'decimals': 1, 'min': 97, 'max': 101, 'rule': '(distillate + residue) / mass in x 100'}, {'key': 'STOP_TIME', 'label': 'Run stop', 'type': 'datetime', 'capture': 'milestone', 'source': 'Calculated', 'required': True}, {'key': 'RUN_H', 'label': 'Total run time', 'type': 'number', 'capture': 'calc', 'source': 'Calculated', 'required': True, 'unit': 'h', 'decimals': 2, 'rule': 'Sum of RUN time in STEADY FEED'}]}, {'id': 'EXCEPTIONS', 'title': 'Exceptions', 'fields': [{'key': 'DEV_REF', 'label': 'Deviation reference', 'type': 'link', 'capture': 'manual', 'source': 'Manual', 'required': False}, {'key': 'COMMENTS', 'label': 'Comments', 'type': 'longtext', 'capture': 'manual', 'source': 'Manual', 'required': False}]}], 'signoff': [{'step': 'Perform', 'role': 'Operator', 'meaning': 'I performed / observed these entries'}, {'step': 'Review', 'role': 'Shift Supervisor', 'meaning': 'Reviewed for completeness; exceptions addressed'}, {'step': 'Approve', 'role': 'QA', 'meaning': 'QA approval - record locked'}], 'blockingRules': ['Any live value outside min/max blocks submit until comment + deviation link', 'Check row cannot be submitted &gt; 30 min after due without late-entry reason'], 'escalation': 'Logbook entry overdue (2-h check): Operator @ due+10 min, Supervisor @ +30 min, Production Manager @ +2 h'}, {'formNo': 'FOR-BIP-010', 'title': '2M Distillation Log', 'revision': 'Rev. 2', 'effective': '2025-11-17', 'assets': ['L2-WFE-2M'], 'level': 'entry', 'everyH': 2, 'demo': False, 'purpose': 'Record 2M WFE / FSD distillation run (constraint asset): 2-hour checks, oil additions, distillate mass and potency.', 'governingSop': ['SOP-BIP-004 / SOP-BIP-006 (governing scope unresolved)'], 'recordModel': 'One record per 2M batch; one entry per 2-hour check row + oil additions + one close entry', 'demoLayout': True, 'sections': [{'id': 'HEADER', 'title': 'Batch header', 'fields': [{'key': 'BATCH_ID', 'label': 'Distillation batch ID', 'type': 'id', 'capture': 'genealogy', 'source': 'ERP', 'required': True, 'help': 'Format 2M-YYMMDD-NN'}, {'key': 'INPUT_LOTS', 'label': 'Source 1M residue lot(s)', 'type': 'multiselect', 'capture': 'genealogy', 'source': 'ERP', 'required': True}, {'key': 'ASSET', 'label': 'Equipment', 'type': 'text', 'capture': 'system', 'source': 'Calculated', 'required': True}, {'key': 'START_TIME', 'label': 'Run start', 'type': 'datetime', 'capture': 'milestone', 'source': 'Calculated', 'required': True, 'rule': 'First STEADY FEED timestamp from state engine'}]}, {'id': 'HANDOFF', 'title': 'Shift handoff', 'fields': [{'key': 'OUT_OPERATOR', 'label': 'Outgoing operator', 'type': 'esign', 'capture': 'manual', 'source': 'Manual', 'required': True}, {'key': 'IN_OPERATOR', 'label': 'Incoming operator', 'type': 'esign', 'capture': 'manual', 'source': 'Manual', 'required': True}, {'key': 'HANDOFF_TIME', 'label': 'Handoff time', 'type': 'datetime', 'capture': 'manual', 'source': 'Manual', 'required': True}, {'key': 'HANDOFF_NOTES', 'label': 'Handoff notes', 'type': 'longtext', 'capture': 'manual', 'source': 'Manual', 'required': False}]}, {'id': 'CHECK', 'title': '2-hour check', 'repeat': {'min': 1, 'max': 12, 'label': 'Check'}, 'fields': [{'key': 'CHECK_TIME', 'label': 'Check time', 'type': 'datetime', 'capture': 'system', 'source': 'Calculated', 'required': True}, {'key': 'WIPER_SP', 'label': 'Wiper speed SP', 'type': 'number', 'capture': 'live', 'source': 'Controller', 'required': True, 'unit': 'rpm', 'target': 300, 'decimals': 1, 'help': 'Setpoint read from controller'}, {'key': 'WIPER_PV', 'label': 'Wiper speed actual', 'type': 'number', 'capture': 'live', 'source': 'Controller', 'required': True, 'tag': 'WIPER_PV', 'unit': 'rpm', 'decimals': 0, 'min': 280, 'max': 320}, {'key': 'FEED_SP', 'label': 'Feed rate SP', 'type': 'number', 'capture': 'live', 'source': 'Controller', 'required': True, 'unit': 'kg/h', 'target': 3.5, 'decimals': 1, 'help': 'Setpoint read from controller'}, {'key': 'FEED_PV', 'label': 'Feed rate actual', 'type': 'number', 'capture': 'live', 'source': 'Controller', 'required': True, 'tag': 'FEED_PV', 'unit': 'kg/h', 'decimals': 2, 'min': 3, 'max': 4}, {'key': 'RUNOFF', 'label': 'Run-off observation', 'type': 'select', 'capture': 'manual', 'source': 'Manual', 'required': True, 'options': ['Steady flow', 'Slow flow', 'Intermittent', 'No flow']}, {'key': 'RUNOFF_TARGET', 'label': 'Target (per SOP)', 'type': 'text', 'capture': 'system', 'source': 'Calculated', 'required': False, 'help': 'Displayed from SOP; confirm column meaning with OBX'}, {'key': 'VAC_PV', 'label': 'Vacuum', 'type': 'number', 'capture': 'live', 'source': 'Controller', 'required': True, 'tag': 'VAC_PV', 'unit': 'mbar', 'decimals': 3, 'max': 0.05}, {'key': 'EVAP_SP', 'label': 'Evaporator temp SP', 'type': 'number', 'capture': 'live', 'source': 'Controller', 'required': True, 'unit': 'degC', 'target': 175, 'decimals': 1, 'help': 'Setpoint read from controller'}, {'key': 'EVAP_PV', 'label': 'Evaporator temp actual', 'type': 'number', 'capture': 'live', 'source': 'Controller', 'required': True, 'tag': 'EVAP_PV', 'unit': 'degC', 'decimals': 1, 'min': 170, 'max': 180}, {'key': 'COND_SP', 'label': 'Condenser temp SP', 'type': 'number', 'capture': 'live', 'source': 'Controller', 'required': True, 'unit': 'degC', 'target': 70, 'decimals': 1, 'help': 'Setpoint read from controller'}, {'key': 'COND_PV', 'label': 'Condenser temp actual', 'type': 'number', 'capture': 'live', 'source': 'Controller', 'required': True, 'tag': 'COND_PV', 'unit': 'degC', 'decimals': 1, 'min': 65, 'max': 75}, {'key': 'CHL_SP', 'label': 'Chiller temp SP', 'type': 'number', 'capture': 'live', 'source': 'Controller', 'required': True, 'unit': 'degC', 'target': -15, 'decimals': 1, 'help': 'Setpoint read from controller'}, {'key': 'CHL_PV', 'label': 'Chiller temp actual', 'type': 'number', 'capture': 'live', 'source': 'Controller', 'required': True, 'tag': 'CHL_PV', 'unit': 'degC', 'decimals': 1, 'min': -20, 'max': -10}, {'key': 'ACK', 'label': 'Operator acknowledges auto values', 'type': 'attest', 'capture': 'manual', 'source': 'Manual', 'required': True}, {'key': 'INITIALS', 'label': 'Operator initials (e-sign)', 'type': 'esign', 'capture': 'manual', 'source': 'Manual', 'required': True}]}, {'id': 'OIL', 'title': 'Oil added', 'repeat': {'min': 0, 'max': 6, 'label': 'Addition'}, 'fields': [{'key': 'OIL_TIME', 'label': 'Oil-added time', 'type': 'datetime', 'capture': 'manual', 'source': 'Manual', 'required': True}, {'key': 'OIL_KG', 'label': 'Oil added', 'type': 'number', 'capture': 'scale', 'source': 'Scale', 'required': True, 'unit': 'kg', 'decimals': 2}, {'key': 'OIL_CONFIRM', 'label': 'Oil addition confirmed', 'type': 'attest', 'capture': 'manual', 'source': 'Manual', 'required': True}, {'key': 'INITIALS', 'label': 'Operator initials (e-sign)', 'type': 'esign', 'capture': 'manual', 'source': 'Manual', 'required': True}]}, {'id': 'CLOSE', 'title': 'Mass &amp; timing (batch close)', 'fields': [{'key': 'MASS_IN', 'label': 'Mass in', 'type': 'number', 'capture': 'scale', 'source': 'Scale', 'required': True, 'unit': 'kg', 'decimals': 1}, {'key': 'MASS_DIST', 'label': 'Mass distillate', 'type': 'number', 'capture': 'scale', 'source': 'Scale', 'required': True, 'unit': 'kg', 'decimals': 1}, {'key': 'MASS_RES', 'label': 'Mass residue', 'type': 'number', 'capture': 'scale', 'source': 'Scale', 'required': True, 'unit': 'kg', 'decimals': 1}, {'key': 'MASS_BAL', 'label': 'Mass balance', 'type': 'number', 'capture': 'calc', 'source': 'Calculated', 'required': True, 'unit': '%', 'decimals': 1, 'min': 97, 'max': 101, 'rule': '(distillate + residue) / mass in x 100'}, {'key': 'STOP_TIME', 'label': 'Run stop', 'type': 'datetime', 'capture': 'milestone', 'source': 'Calculated', 'required': True}, {'key': 'RUN_H', 'label': 'Total run time', 'type': 'number', 'capture': 'calc', 'source': 'Calculated', 'required': True, 'unit': 'h', 'decimals': 2, 'rule': 'Sum of RUN time in STEADY FEED'}]}, {'id': 'DISTILLATE', 'title': 'Distillate quality', 'fields': [{'key': 'POTENCY', 'label': 'Distillate potency (total cannabinoids)', 'type': 'number', 'capture': 'lims', 'source': 'LIMS/COA', 'required': True, 'unit': '%', 'decimals': 1, 'min': 85}, {'key': 'D9_THC', 'label': 'Delta-9 THC', 'type': 'number', 'capture': 'lims', 'source': 'LIMS/COA', 'required': True, 'unit': '% w/w', 'decimals': 3, 'max': 0.3, 'help': 'Hold if above limit (QL2-05)'}, {'key': 'COLOUR', 'label': 'Distillate colour', 'type': 'select', 'capture': 'manual', 'source': 'Manual', 'required': True, 'options': ['Light gold', 'Gold', 'Amber', 'Dark']}]}, {'id': 'EXCEPTIONS', 'title': 'Exceptions', 'fields': [{'key': 'DEV_REF', 'label': 'Deviation reference', 'type': 'link', 'capture': 'manual', 'source': 'Manual', 'required': False}, {'key': 'COMMENTS', 'label': 'Comments', 'type': 'longtext', 'capture': 'manual', 'source': 'Manual', 'required': False}]}], 'signoff': [{'step': 'Perform', 'role': 'Operator', 'meaning': 'I performed / observed these entries'}, {'step': 'Review', 'role': 'Shift Supervisor', 'meaning': 'Reviewed for completeness; exceptions addressed'}, {'step': 'Approve', 'role': 'QA', 'meaning': 'QA approval - record locked'}], 'blockingRules': ['Vacuum &gt; 0.05 mbar blocks submit until comment + deviation', 'D9 THC above limit forces batch HOLD (QA only can release)'], 'escalation': 'Same as FOR-BIP-009; constraint-asset downtime linked from entry'}, {'formNo': 'FOR-BIP-004', 'title': 'Isolation Log', 'revision': 'Rev. 7', 'effective': '2026-01-16', 'assets': ['L2-ISO-A', 'L2-ISO-B', 'L2-ISO-C', 'L2-ISO-D', 'L2-ISO-E'], 'level': 'batch', 'demo': False, 'purpose': 'Record CBD isolation: charge, each crash (up to 4), -18 degC endpoint, rinses, trays / oven, isolate mass, visual checks.', 'governingSop': ['SOP-BIP-003'], 'recordModel': 'One record per reactor batch; one crash block per crash (batch IDs ...-C1..C4)', 'demoLayout': True, 'sections': [{'id': 'HEADER', 'title': 'Header', 'fields': [{'key': 'REACTOR', 'label': 'Reactor', 'type': 'select', 'capture': 'system', 'source': 'Calculated', 'required': True, 'options': ['ISO-A', 'ISO-B', 'ISO-C', 'ISO-D', 'ISO-E']}, {'key': 'BATCH_ID', 'label': 'Isolation batch ID', 'type': 'id', 'capture': 'genealogy', 'source': 'ERP', 'required': True, 'help': 'Format ISO-X-YYMMDD-NN-Cn'}, {'key': 'INPUT_LOTS', 'label': 'Input distillate lot(s)', 'type': 'multiselect', 'capture': 'genealogy', 'source': 'ERP', 'required': True}, {'key': 'INPUT_KG', 'label': 'Input mass', 'type': 'number', 'capture': 'scale', 'source': 'Scale', 'required': True, 'unit': 'kg', 'decimals': 1}]}, {'id': 'CHARGE', 'title': 'Solvent charge', 'fields': [{'key': 'HEP_CALC_L', 'label': 'Heptane charge - calculated', 'type': 'number', 'capture': 'calc', 'source': 'Calculated', 'required': True, 'unit': 'L', 'decimals': 1, 'rule': 'Input kg x 2.5 L/kg (demo factor)'}, {'key': 'HEP_ACT_L', 'label': 'Heptane charge - actual', 'type': 'number', 'capture': 'manual', 'source': 'Manual', 'required': True, 'unit': 'L', 'decimals': 1, 'rule': 'Within +/-2 % of calculated'}]}, {'id': 'CRASH', 'title': 'Crash', 'repeat': {'min': 1, 'max': 4, 'label': 'Crash'}, 'fields': [{'key': 'CRASH_NO', 'label': 'Crash no.', 'type': 'number', 'capture': 'system', 'source': 'Calculated', 'required': True, 'decimals': 0, 'min': 1, 'max': 4}, {'key': 'DISSOLVE_T', 'label': 'Dissolve temperature', 'type': 'number', 'capture': 'live', 'source': 'Controller', 'required': True, 'tag': 'T_INT', 'unit': 'degC', 'decimals': 1}, {'key': 'DISSOLVE_TIME', 'label': 'Dissolve complete', 'type': 'datetime', 'capture': 'milestone', 'source': 'Calculated', 'required': True}, {'key': 'COOL_START', 'label': 'Start cooling time', 'type': 'datetime', 'capture': 'milestone', 'source': 'Calculated', 'required': True}, {'key': 'REACHED_M18', 'label': 'Time internal temp reached -18 degC', 'type': 'datetime', 'capture': 'milestone', 'source': 'Controller', 'required': True, 'tag': 'T_INT', 'limitRef': 'SOP-BIP-003', 'rule': 'First time T_INT &lt;= -18.0 degC for 5 consecutive minutes'}, {'key': 'HOLD_START', 'label': 'Hold start', 'type': 'datetime', 'capture': 'milestone', 'source': 'Calculated', 'required': True}, {'key': 'HOLD_END', 'label': 'Hold end', 'type': 'datetime', 'capture': 'milestone', 'source': 'Calculated', 'required': True}, {'key': 'CRASH_END_T', 'label': 'Crash endpoint temperature', 'type': 'number', 'capture': 'calc', 'source': 'Calculated', 'required': True, 'unit': 'degC', 'decimals': 1, 'max': -18, 'limitRef': 'SOP-BIP-003', 'rule': 'Mean T_INT over last 30 min of HOLD'}, {'key': 'TRANSFER_TIME', 'label': 'Transfer / filter time', 'type': 'datetime', 'capture': 'manual', 'source': 'Manual', 'required': True}, {'key': 'RINSE1_L', 'label': 'Rinse 1 volume', 'type': 'number', 'capture': 'manual', 'source': 'Manual', 'required': True, 'unit': 'L', 'decimals': 1}, {'key': 'RINSE1_TIME', 'label': 'Rinse 1 time', 'type': 'datetime', 'capture': 'manual', 'source': 'Manual', 'required': True}, {'key': 'RINSE2_L', 'label': 'Rinse 2 volume', 'type': 'number', 'capture': 'manual', 'source': 'Manual', 'required': True, 'unit': 'L', 'decimals': 1}, {'key': 'RINSE2_TIME', 'label': 'Rinse 2 time', 'type': 'datetime', 'capture': 'manual', 'source': 'Manual', 'required': True}, {'key': 'RINSE3_L', 'label': 'Rinse 3 volume', 'type': 'number', 'capture': 'manual', 'source': 'Manual', 'required': True, 'unit': 'L', 'decimals': 1}, {'key': 'RINSE3_TIME', 'label': 'Rinse 3 time', 'type': 'datetime', 'capture': 'manual', 'source': 'Manual', 'required': True}, {'key': 'FLUFF_MIX', 'label': 'Fluff / mix done', 'type': 'attest', 'capture': 'manual', 'source': 'Manual', 'required': True}, {'key': 'TRAY_IN', 'label': 'Tray in time', 'type': 'datetime', 'capture': 'manual', 'source': 'Manual', 'required': True}, {'key': 'TRAY_OUT', 'label': 'Tray out time', 'type': 'datetime', 'capture': 'manual', 'source': 'Manual', 'required': True}, {'key': 'OVEN_ID', 'label': 'Vacuum oven', 'type': 'select', 'capture': 'manual', 'source': 'Manual', 'required': True, 'options': ['VO-01', 'VO-02']}, {'key': 'ISOLATE_KG', 'label': 'Isolate mass out', 'type': 'number', 'capture': 'scale', 'source': 'Scale', 'required': True, 'unit': 'kg', 'decimals': 2}, {'key': 'YIELD_PCT', 'label': 'Crash yield', 'type': 'number', 'capture': 'calc', 'source': 'Calculated', 'required': True, 'unit': '%', 'decimals': 1, 'rule': 'Isolate kg / input kg x 100'}, {'key': 'VIS_COLOUR', 'label': 'Visual - colour', 'type': 'select', 'capture': 'manual', 'source': 'Manual', 'required': True, 'options': ['White', 'Off-white', 'Yellow'], 'help': 'Operator judgement per SOP - never automated'}, {'key': 'VIS_DRYNESS', 'label': 'Visual - dryness', 'type': 'select', 'capture': 'manual', 'source': 'Manual', 'required': True, 'options': ['Dry', 'Slightly damp', 'Wet']}, {'key': 'VIS_CONDITION', 'label': 'Visual - material condition', 'type': 'select', 'capture': 'manual', 'source': 'Manual', 'required': True, 'options': ['Free-flowing crystals', 'Clumped', 'Glassy / oiled out']}, {'key': 'INITIALS', 'label': 'Operator initials (e-sign)', 'type': 'esign', 'capture': 'manual', 'source': 'Manual', 'required': True}]}, {'id': 'NOTES', 'title': 'Notes / exceptions', 'fields': [{'key': 'DEV_REF', 'label': 'Deviation reference', 'type': 'link', 'capture': 'manual', 'source': 'Manual', 'required': False}, {'key': 'NOTES', 'label': 'Notes', 'type': 'longtext', 'capture': 'manual', 'source': 'Manual', 'required': False}]}], 'signoff': [{'step': 'Perform', 'role': 'Operator', 'meaning': 'I performed / observed these entries'}, {'step': 'Review', 'role': 'Shift Supervisor', 'meaning': 'Reviewed for completeness; exceptions addressed'}, {'step': 'Approve', 'role': 'QA', 'meaning': 'QA approval - record locked'}], 'blockingRules': ['Crash endpoint &gt; -18 degC blocks close until deviation raised (Critical)', 'Visual fields cannot be auto-filled', 'Yellow isolate forces Quality Loss record QL2-07'], 'escalation': 'Critical deviation: Operator + Supervisor + QA at T+0; Production Manager @ 15 min unacknowledged'}, {'formNo': 'FOR-BIP-003', 'title': 'D8 Log', 'revision': 'Rev. 4', 'effective': '2026-02-05', 'assets': ['L2-RXN-1', 'L2-RXN-3'], 'level': 'batch', 'demo': False, 'purpose': 'Record Delta-8 conversion: recipe, pre-acid temperature, acid addition, exotherm, cook in band, three washes, output.', 'governingSop': ['SOP-BIP-005'], 'recordModel': 'One record per reaction batch (D8-YYMMDD-NN)', 'demoLayout': True, 'sections': [{'id': 'HEADER', 'title': 'Header', 'fields': [{'key': 'REACTION_ID', 'label': 'Reaction ID', 'type': 'id', 'capture': 'genealogy', 'source': 'ERP', 'required': True, 'help': 'Format D8-YYMMDD-NN'}, {'key': 'REACTOR', 'label': 'Reactor', 'type': 'select', 'capture': 'system', 'source': 'Calculated', 'required': True, 'options': ['RXN-1', 'RXN-3']}, {'key': 'INPUT_LOTS', 'label': 'Input isolate lot(s)', 'type': 'multiselect', 'capture': 'genealogy', 'source': 'ERP', 'required': True}, {'key': 'INPUT_KG', 'label': 'Input mass', 'type': 'number', 'capture': 'scale', 'source': 'Scale', 'required': True, 'unit': 'kg', 'decimals': 2}]}, {'id': 'RECIPE', 'title': 'Recipe (guided)', 'fields': [{'key': 'HEP_CALC_L', 'label': 'Heptane - calculated', 'type': 'number', 'capture': 'calc', 'source': 'Calculated', 'required': True, 'unit': 'L', 'decimals': 1, 'rule': 'Input kg x 4.0 L/kg (demo factor per SOP-BIP-005)'}, {'key': 'HEP_ACT_L', 'label': 'Heptane - actual', 'type': 'number', 'capture': 'manual', 'source': 'Manual', 'required': True, 'unit': 'L', 'decimals': 1}, {'key': 'ACID_CALC_KG', 'label': 'Acid - calculated', 'type': 'number', 'capture': 'calc', 'source': 'Calculated', 'required': True, 'unit': 'kg', 'decimals': 3, 'rule': 'Input kg x 0.05 (demo factor per SOP-BIP-005)'}, {'key': 'ACID_ACT_KG', 'label': 'Acid - actual', 'type': 'number', 'capture': 'manual', 'source': 'Manual', 'required': True, 'unit': 'kg', 'decimals': 3, 'rule': 'Within +/-2 % of calculated'}]}, {'id': 'MILESTONES', 'title': 'Reaction milestones', 'fields': [{'key': 'MATERIAL_IN', 'label': 'Material-in time', 'type': 'datetime', 'capture': 'milestone', 'source': 'Calculated', 'required': True}, {'key': 'PRE_ACID_T', 'label': 'Pre-acid temperature', 'type': 'number', 'capture': 'live', 'source': 'Controller', 'required': True, 'tag': 'T_INT', 'unit': 'degC', 'decimals': 1, 'min': 50, 'max': 55, 'limitRef': 'SOP-BIP-005'}, {'key': 'ACID_IN', 'label': 'Acid-in time (attest)', 'type': 'datetime', 'capture': 'manual', 'source': 'Manual', 'required': True}, {'key': 'ACID_ATTEST', 'label': 'Acid addition performed per SOP', 'type': 'attest', 'capture': 'manual', 'source': 'Manual', 'required': True}, {'key': 'EXO_PEAK_T', 'label': 'Exotherm peak temperature', 'type': 'number', 'capture': 'milestone', 'source': 'Calculated', 'required': True, 'unit': 'degC', 'decimals': 1, 'max': 78, 'rule': 'Max T_INT in EXOTHERM phase'}, {'key': 'EXO_PEAK_TIME', 'label': 'Exotherm peak time', 'type': 'datetime', 'capture': 'milestone', 'source': 'Calculated', 'required': True}, {'key': 'EXO_RISE', 'label': 'Exotherm rise', 'type': 'number', 'capture': 'calc', 'source': 'Calculated', 'required': True, 'unit': 'degC', 'decimals': 1, 'rule': 'Peak - pre-acid temperature'}, {'key': 'EXO_TTP', 'label': 'Time to peak', 'type': 'number', 'capture': 'calc', 'source': 'Calculated', 'required': True, 'unit': 'min', 'decimals': 0}, {'key': 'SET_TEMP', 'label': 'Cook set temperature', 'type': 'number', 'capture': 'live', 'source': 'Controller', 'required': True, 'unit': 'degC', 'decimals': 1, 'target': 90}, {'key': 'COOK_START', 'label': 'Cook start', 'type': 'datetime', 'capture': 'milestone', 'source': 'Calculated', 'required': True}, {'key': 'COOK_END', 'label': 'Cook end', 'type': 'datetime', 'capture': 'milestone', 'source': 'Calculated', 'required': True}, {'key': 'COOK_IN_BAND', 'label': 'Cook time in 85-95 degC band', 'type': 'number', 'capture': 'calc', 'source': 'Calculated', 'required': True, 'unit': '%', 'decimals': 1, 'min': 95, 'limitRef': 'SOP-BIP-005', 'rule': 'Minutes with 85 &lt;= T_INT &lt;= 95 / cook minutes x 100'}]}, {'id': 'WASH', 'title': 'Wash', 'repeat': {'min': 3, 'max': 3, 'label': 'Wash'}, 'fields': [{'key': 'WASH_NO', 'label': 'Wash no.', 'type': 'number', 'capture': 'system', 'source': 'Calculated', 'required': True, 'decimals': 0}, {'key': 'WASH_DONE', 'label': 'Wash performed', 'type': 'attest', 'capture': 'manual', 'source': 'Manual', 'required': True}, {'key': 'WASH_PH', 'label': 'Aqueous pH', 'type': 'number', 'capture': 'manual', 'source': 'Manual', 'required': True, 'unit': 'pH', 'decimals': 1, 'min': 6.5, 'max': 8, 'limitRows': [3], 'help': 'Limit applies to wash 3'}, {'key': 'WASH_TIME', 'label': 'Wash time', 'type': 'datetime', 'capture': 'manual', 'source': 'Manual', 'required': True}, {'key': 'INITIALS', 'label': 'Operator initials (e-sign)', 'type': 'esign', 'capture': 'manual', 'source': 'Manual', 'required': True}]}, {'id': 'CLOSE', 'title': 'Close', 'fields': [{'key': 'OUTPUT_KG', 'label': 'Output mass', 'type': 'number', 'capture': 'scale', 'source': 'Scale', 'required': True, 'unit': 'kg', 'decimals': 2}, {'key': 'YIELD_PCT', 'label': 'Yield', 'type': 'number', 'capture': 'calc', 'source': 'Calculated', 'required': True, 'unit': '%', 'decimals': 1}, {'key': 'NOTES', 'label': 'Notes', 'type': 'longtext', 'capture': 'manual', 'source': 'Manual', 'required': False}, {'key': 'INITIALS', 'label': 'Operator initials (e-sign)', 'type': 'esign', 'capture': 'manual', 'source': 'Manual', 'required': True}]}], 'signoff': [{'step': 'Perform', 'role': 'Operator', 'meaning': 'I performed / observed these entries'}, {'step': 'Review', 'role': 'Shift Supervisor', 'meaning': 'Reviewed for completeness; exceptions addressed'}, {'step': 'Approve', 'role': 'QA', 'meaning': 'QA approval - record locked'}], 'blockingRules': ['Pre-acid temperature outside 50-55 degC blocks acid-in attest (Major deviation)', 'Cook in-band &lt; 95 % requires comment', 'All 3 washes mandatory before close'], 'escalation': 'Major deviation: Operator, Supervisor @ 15 min, QA @ 1 h, Production Manager @ 4 h'}, {'formNo': 'FOR-KRT-101', 'title': 'Extraction Cycle Log', 'revision': 'Rev. A (demo)', 'effective': '2026-09-01', 'assets': ['L1-EXT-T01', 'L1-EXT-T02', 'L1-EXT-T03', 'L1-EXT-T04'], 'level': 'batch', 'demo': True, 'purpose': 'One extraction cycle on the outdoor pad: charge, PLC step times, liquor temp/pH, drain and totes filled.', 'governingSop': ['OBX kratom extraction work instruction (number TBC)'], 'recordModel': 'One record per extraction cycle (KX-Txx-YYMMDD-n)', 'demoLayout': True, 'sections': [{'id': 'HEADER', 'title': 'Header', 'fields': [{'key': 'CYCLE_ID', 'label': 'Extraction cycle ID', 'type': 'id', 'capture': 'genealogy', 'source': 'ERP', 'required': True}, {'key': 'TANK', 'label': 'Extraction tank', 'type': 'select', 'capture': 'system', 'source': 'Calculated', 'required': True, 'options': ['T01', 'T02', 'T03', 'T04']}, {'key': 'BIOMASS_LOT', 'label': 'Biomass lot', 'type': 'scan', 'capture': 'genealogy', 'source': 'ERP', 'required': True}, {'key': 'CHARGE_KG', 'label': 'Biomass charge', 'type': 'number', 'capture': 'scale', 'source': 'Scale', 'required': True, 'unit': 'kg', 'decimals': 1}]}, {'id': 'STEPS', 'title': 'PLC step times', 'fields': [{'key': 'FILL_START', 'label': 'Fill start', 'type': 'datetime', 'capture': 'milestone', 'source': 'PLC', 'required': True}, {'key': 'SOAK_START', 'label': 'Soak start', 'type': 'datetime', 'capture': 'milestone', 'source': 'PLC', 'required': True}, {'key': 'RECIRC_START', 'label': 'Recirculation start', 'type': 'datetime', 'capture': 'milestone', 'source': 'PLC', 'required': True}, {'key': 'DRAIN_START', 'label': 'Drain start', 'type': 'datetime', 'capture': 'milestone', 'source': 'PLC', 'required': True}, {'key': 'DRAIN_END', 'label': 'Drain end', 'type': 'datetime', 'capture': 'milestone', 'source': 'PLC', 'required': True}, {'key': 'CYCLE_H', 'label': 'Cycle time', 'type': 'number', 'capture': 'calc', 'source': 'Calculated', 'required': True, 'unit': 'h', 'decimals': 2, 'target': 8}]}, {'id': 'PROCESS', 'title': 'Liquor', 'fields': [{'key': 'LIQ_TEMP', 'label': 'Liquor temperature (recirc avg)', 'type': 'number', 'capture': 'live', 'source': 'PLC', 'required': True, 'tag': 'TEMP', 'unit': 'degC', 'decimals': 1, 'min': 55, 'max': 65}, {'key': 'LIQ_PH', 'label': 'Liquor pH (end of recirc)', 'type': 'number', 'capture': 'live', 'source': 'PLC', 'required': True, 'tag': 'PH', 'unit': 'pH', 'decimals': 2, 'min': 3, 'max': 4}, {'key': 'RECIRC_FLOW', 'label': 'Recirculation flow (avg)', 'type': 'number', 'capture': 'live', 'source': 'PLC', 'required': True, 'tag': 'RECIRC_FLOW', 'unit': 'L/min', 'decimals': 0, 'min': 150, 'max': 210}, {'key': 'DRAIN_L', 'label': 'Drain volume', 'type': 'number', 'capture': 'calc', 'source': 'PLC', 'required': True, 'unit': 'L', 'decimals': 0, 'rule': 'Level delta x tank volume'}, {'key': 'TOTE_IDS', 'label': 'Totes filled', 'type': 'scan', 'capture': 'manual', 'source': 'Manual', 'required': True}, {'key': 'DISC_MIN', 'label': 'Edge data gap back-filled', 'type': 'number', 'capture': 'system', 'source': 'Calculated', 'required': False, 'unit': 'min', 'decimals': 0, 'help': 'Outdoor-pad network loss; values back-filled from I/O Connect buffer'}]}, {'id': 'CLOSE', 'title': 'Close', 'fields': [{'key': 'WEATHER_HOLD', 'label': 'Weather hold during cycle', 'type': 'boolean', 'capture': 'manual', 'source': 'Manual', 'required': True}, {'key': 'WEATHER_REASON', 'label': 'Weather hold reason', 'type': 'select', 'capture': 'manual', 'source': 'Manual', 'required': False, 'options': ['Lightning', 'Freeze', 'High wind', 'Heavy rain']}, {'key': 'NOTES', 'label': 'Notes', 'type': 'longtext', 'capture': 'manual', 'source': 'Manual', 'required': False}, {'key': 'INITIALS', 'label': 'Operator initials (e-sign)', 'type': 'esign', 'capture': 'manual', 'source': 'Manual', 'required': True}]}], 'signoff': [{'step': 'Perform', 'role': 'Operator', 'meaning': 'I performed / observed these entries'}, {'step': 'Review', 'role': 'Shift Supervisor', 'meaning': 'Reviewed for completeness; exceptions addressed'}], 'blockingRules': ['Liquor pH outside 3.0-4.0 requires comment (QL1-03 rework)'], 'escalation': 'Edge DISC &gt; 10 min: OBX IT/OT + Faclon support, Supervisor @ 30 min'}, {'formNo': 'FOR-KRT-102', 'title': 'LLE / Solvent Log', 'revision': 'Rev. A (demo)', 'effective': '2026-09-01', 'assets': ['L1-LLE-01', 'L1-SRU-01'], 'level': 'entry', 'everyH': 4, 'demo': True, 'purpose': 'Liquid-liquid extraction and heptane recovery readings every 4 h - feeds the heptane-loss-per-kg-MIT KPI.', 'governingSop': ['OBX LLE / solvent recovery work instruction (number TBC)'], 'recordModel': 'One entry every 4 h while LLE is in CONTACT', 'demoLayout': True, 'sections': [{'id': 'LLE', 'title': 'LLE skid', 'fields': [{'key': 'CHECK_TIME', 'label': 'Check time', 'type': 'datetime', 'capture': 'system', 'source': 'Calculated', 'required': True}, {'key': 'LLE_BATCH', 'label': 'LLE campaign', 'type': 'id', 'capture': 'genealogy', 'source': 'ERP', 'required': True}, {'key': 'ORG_FLOW', 'label': 'Organic (heptane) flow', 'type': 'number', 'capture': 'live', 'source': 'Controller', 'required': True, 'tag': 'ORG_FLOW', 'unit': 'L/min', 'decimals': 1, 'min': 18, 'max': 26}, {'key': 'AQ_FLOW', 'label': 'Aqueous flow', 'type': 'number', 'capture': 'live', 'source': 'Controller', 'required': True, 'tag': 'AQ_FLOW', 'unit': 'L/min', 'decimals': 1, 'min': 34, 'max': 46}, {'key': 'OA_RATIO', 'label': 'O/A ratio', 'type': 'number', 'capture': 'calc', 'source': 'Calculated', 'required': True, 'decimals': 2, 'min': 0.45, 'max': 0.6, 'rule': 'Organic flow / aqueous flow'}, {'key': 'AQ_PH', 'label': 'Aqueous pH', 'type': 'number', 'capture': 'live', 'source': 'Controller', 'required': True, 'tag': 'AQ_PH', 'unit': 'pH', 'decimals': 2, 'min': 9.4, 'max': 10.2}, {'key': 'INTERFACE', 'label': 'Interface observation', 'type': 'select', 'capture': 'manual', 'source': 'Manual', 'required': True, 'options': ['Sharp', 'Rag layer &lt; 1 cm', 'Rag layer &gt; 1 cm']}, {'key': 'EMULSION', 'label': 'Emulsion present', 'type': 'boolean', 'capture': 'manual', 'source': 'Manual', 'required': True}, {'key': 'HEP_IN_L', 'label': 'Heptane to LLE (since last check)', 'type': 'number', 'capture': 'calc', 'source': 'Controller', 'required': True, 'unit': 'L', 'decimals': 0, 'rule': 'Totaliser delta'}]}, {'id': 'SRU', 'title': 'Solvent recovery', 'fields': [{'key': 'REB_TEMP', 'label': 'Reboiler temperature', 'type': 'number', 'capture': 'live', 'source': 'Controller', 'required': True, 'tag': 'REB_TEMP', 'unit': 'degC', 'decimals': 1, 'min': 97, 'max': 104, 'appliesTo': ['L1-SRU']}, {'key': 'COND_OUT', 'label': 'Condenser outlet temperature', 'type': 'number', 'capture': 'live', 'source': 'Controller', 'required': True, 'tag': 'COND_OUT', 'unit': 'degC', 'decimals': 1, 'max': 30, 'appliesTo': ['L1-SRU']}, {'key': 'HEP_REC_L', 'label': 'Heptane recovered (since last check)', 'type': 'number', 'capture': 'calc', 'source': 'Controller', 'required': True, 'unit': 'L', 'decimals': 0}, {'key': 'HEP_T01_PCT', 'label': 'Heptane tank HEP-T01 level', 'type': 'number', 'capture': 'manual', 'source': 'Manual', 'required': True, 'unit': '%', 'decimals': 0}, {'key': 'HEP_T02_PCT', 'label': 'Heptane tank HEP-T02 level', 'type': 'number', 'capture': 'manual', 'source': 'Manual', 'required': True, 'unit': '%', 'decimals': 0}, {'key': 'REC_PURITY', 'label': 'Recovered heptane purity', 'type': 'number', 'capture': 'manual', 'source': 'Manual', 'required': True, 'unit': '%', 'decimals': 1, 'min': 98}, {'key': 'INITIALS', 'label': 'Operator initials (e-sign)', 'type': 'esign', 'capture': 'manual', 'source': 'Manual', 'required': True}]}], 'signoff': [{'step': 'Perform', 'role': 'Operator', 'meaning': 'I performed / observed these entries'}, {'step': 'Review', 'role': 'Shift Supervisor', 'meaning': 'Reviewed for completeness; exceptions addressed'}], 'blockingRules': ['Emulsion = Yes requires Quality Loss QL1-04 or comment', 'Condenser outlet &gt; 30 degC raises Minor deviation (solvent slip)'], 'escalation': 'Heptane loss &gt; target for lot: Production Manager on lot close; Plant Head weekly digest'}, {'formNo': 'FOR-KRT-103', 'title': 'Crystallization Batch Log', 'revision': 'Rev. A (demo)', 'effective': '2026-09-01', 'assets': ['L1-CRY-01', 'L1-CRY-02', 'L1-FIL-01'], 'level': 'batch', 'demo': True, 'purpose': 'MIT freebase crystallization (pH dose, cool, hold) and Nutsche filtration / drying.', 'governingSop': ['OBX crystallization work instruction (number TBC)'], 'recordModel': 'Crystallization section per MCB batch; Filter/dry section per MFD batch (linked by genealogy)', 'demoLayout': True, 'sections': [{'id': 'CRYST', 'title': 'Crystallization', 'appliesTo': ['L1-CRY'], 'fields': [{'key': 'BATCH_ID', 'label': 'Crystallization batch', 'type': 'id', 'capture': 'genealogy', 'source': 'ERP', 'required': True, 'help': 'Format MCB-26-nnnn'}, {'key': 'CRYSTALLIZER', 'label': 'Crystallizer', 'type': 'select', 'capture': 'system', 'source': 'Calculated', 'required': True, 'options': ['CRY-01', 'CRY-02']}, {'key': 'SOURCE', 'label': 'Source LLE campaign(s) / totes', 'type': 'multiselect', 'capture': 'genealogy', 'source': 'ERP', 'required': True}, {'key': 'CHARGE_KG', 'label': 'Organic phase charged (MIT equiv.)', 'type': 'number', 'capture': 'calc', 'source': 'Calculated', 'required': True, 'unit': 'kg', 'decimals': 1}, {'key': 'DOSE_START', 'label': 'Base dose start', 'type': 'datetime', 'capture': 'milestone', 'source': 'Controller', 'required': True}, {'key': 'PH_REACHED', 'label': 'pH 9.3 reached', 'type': 'datetime', 'capture': 'milestone', 'source': 'Controller', 'required': True, 'tag': 'PH', 'rule': 'PH &gt;= 9.3 for 5 consecutive minutes'}, {'key': 'BASE_RECIPE_L', 'label': 'Base - recipe volume', 'type': 'number', 'capture': 'calc', 'source': 'Calculated', 'required': True, 'unit': 'L', 'decimals': 1}, {'key': 'BASE_DOSED_L', 'label': 'Base - dosed total', 'type': 'number', 'capture': 'calc', 'source': 'Controller', 'required': True, 'unit': 'L', 'decimals': 1, 'rule': 'Integral of DOSE_RATE'}, {'key': 'FINAL_PH', 'label': 'Final pH', 'type': 'number', 'capture': 'live', 'source': 'Controller', 'required': True, 'tag': 'PH', 'unit': 'pH', 'decimals': 2, 'min': 9.3, 'max': 9.9}, {'key': 'T_HOLD', 'label': 'Temperature at hold', 'type': 'number', 'capture': 'live', 'source': 'Controller', 'required': True, 'tag': 'T_INT', 'unit': 'degC', 'decimals': 1, 'min': 2, 'max': 8}, {'key': 'HOLD_START', 'label': 'Hold start', 'type': 'datetime', 'capture': 'milestone', 'source': 'Calculated', 'required': True}, {'key': 'HOLD_END', 'label': 'Hold end', 'type': 'datetime', 'capture': 'milestone', 'source': 'Calculated', 'required': True}, {'key': 'HOLD_H', 'label': 'Hold duration', 'type': 'number', 'capture': 'calc', 'source': 'Calculated', 'required': True, 'unit': 'h', 'decimals': 2, 'min': 3.5, 'max': 6}, {'key': 'CRYSTAL_APPEAR', 'label': 'Crystal appearance', 'type': 'select', 'capture': 'manual', 'source': 'Manual', 'required': True, 'options': ['Pale, granular', 'Fine / slow settling', 'Dark / off-colour']}, {'key': 'YIELD_PCT', 'label': 'Crystallization yield', 'type': 'number', 'capture': 'calc', 'source': 'Calculated', 'required': True, 'unit': '%', 'decimals': 1}, {'key': 'INITIALS', 'label': 'Operator initials (e-sign)', 'type': 'esign', 'capture': 'manual', 'source': 'Manual', 'required': True}]}, {'id': 'FILTER', 'title': 'Filtration &amp; drying (Nutsche)', 'appliesTo': ['L1-FIL'], 'fields': [{'key': 'FD_BATCH', 'label': 'Filter-dryer batch', 'type': 'id', 'capture': 'genealogy', 'source': 'ERP', 'required': True, 'help': 'Format MFD-26-nnnn'}, {'key': 'SOURCE', 'label': 'Source crystallization batch(es)', 'type': 'multiselect', 'capture': 'genealogy', 'source': 'ERP', 'required': True}, {'key': 'FILT_START', 'label': 'Filtration start', 'type': 'datetime', 'capture': 'milestone', 'source': 'Calculated', 'required': True}, {'key': 'FILT_END', 'label': 'Filtration end', 'type': 'datetime', 'capture': 'milestone', 'source': 'Calculated', 'required': True}, {'key': 'FILT_MIN', 'label': 'Filtration duration', 'type': 'number', 'capture': 'calc', 'source': 'Calculated', 'required': True, 'unit': 'min', 'decimals': 0, 'max': 150}, {'key': 'DP_MAX', 'label': 'Max filter differential pressure', 'type': 'number', 'capture': 'live', 'source': 'Controller', 'required': True, 'unit': 'bar', 'decimals': 2, 'max': 1.5}, {'key': 'WASH_L', 'label': 'Heptane cake wash', 'type': 'number', 'capture': 'manual', 'source': 'Manual', 'required': True, 'unit': 'L', 'decimals': 1}, {'key': 'DRY_TEMP', 'label': 'Drying temperature (avg)', 'type': 'number', 'capture': 'live', 'source': 'Controller', 'required': True, 'unit': 'degC', 'decimals': 1, 'min': 40, 'max': 50}, {'key': 'DRY_H', 'label': 'Drying time', 'type': 'number', 'capture': 'calc', 'source': 'Calculated', 'required': True, 'unit': 'h', 'decimals': 1}, {'key': 'LOD', 'label': 'Loss on drying', 'type': 'number', 'capture': 'lims', 'source': 'LIMS/COA', 'required': True, 'unit': '%', 'decimals': 2, 'max': 0.5}, {'key': 'DRY_KG', 'label': 'Dry freebase out', 'type': 'number', 'capture': 'scale', 'source': 'Scale', 'required': True, 'unit': 'kg', 'decimals': 2}, {'key': 'INITIALS', 'label': 'Operator initials (e-sign)', 'type': 'esign', 'capture': 'manual', 'source': 'Manual', 'required': True}]}], 'signoff': [{'step': 'Perform', 'role': 'Operator', 'meaning': 'I performed / observed these entries'}, {'step': 'Review', 'role': 'Shift Supervisor', 'meaning': 'Reviewed for completeness; exceptions addressed'}, {'step': 'Approve', 'role': 'QA', 'meaning': 'QA approval - record locked'}], 'blockingRules': ['Final pH outside 9.3-9.9 requires deviation (links pH-probe calibration LOG-CAL)', 'LOD &gt; 0.5 % blocks drumming (QL1-08 rework)'], 'escalation': 'Major deviation path; batch record review pending: Supervisor @ close+4 h, QA @ +24 h'}, {'formNo': 'FOR-KRT-104', 'title': 'Drum &amp; Weigh Log', 'revision': 'Rev. A (demo)', 'effective': '2026-09-01', 'assets': ['L1-FIL-01'], 'level': 'event', 'demo': True, 'purpose': 'Each MIT freebase drum: scan, gross / tare / net from connected scale, label and seal check.', 'governingSop': ['OBX drumming &amp; labelling work instruction (number TBC)'], 'recordModel': 'One entry per drum (FBD-26-nnnn)', 'demoLayout': True, 'sections': [{'id': 'DRUM', 'title': 'Drum', 'fields': [{'key': 'DRUM_ID', 'label': 'Drum ID', 'type': 'scan', 'capture': 'manual', 'source': 'Manual', 'required': True, 'help': 'Format FBD-26-nnnn'}, {'key': 'SOURCE_BATCH', 'label': 'Source filter-dryer batch', 'type': 'id', 'capture': 'genealogy', 'source': 'ERP', 'required': True}, {'key': 'GROSS_KG', 'label': 'Gross weight', 'type': 'number', 'capture': 'scale', 'source': 'Scale', 'required': True, 'unit': 'kg', 'decimals': 2}, {'key': 'TARE_KG', 'label': 'Tare weight', 'type': 'number', 'capture': 'scale', 'source': 'Scale', 'required': True, 'unit': 'kg', 'decimals': 2}, {'key': 'NET_KG', 'label': 'Net weight', 'type': 'number', 'capture': 'calc', 'source': 'Calculated', 'required': True, 'unit': 'kg', 'decimals': 2, 'rule': 'Gross - tare; must match label within +/-0.05 kg'}, {'key': 'SEAL_NO', 'label': 'Seal number', 'type': 'text', 'capture': 'manual', 'source': 'Manual', 'required': True}, {'key': 'LABEL_CHECK', 'label': 'Label matches drum, batch and net weight', 'type': 'attest', 'capture': 'manual', 'source': 'Manual', 'required': True}, {'key': 'PHOTO', 'label': 'Label photo', 'type': 'photo', 'capture': 'manual', 'source': 'Manual', 'required': False}, {'key': 'INITIALS', 'label': 'Operator initials (e-sign)', 'type': 'esign', 'capture': 'manual', 'source': 'Manual', 'required': True}]}], 'signoff': [{'step': 'Perform', 'role': 'Operator', 'meaning': 'Weighed and labelled'}, {'step': 'Verify', 'role': 'Shift Supervisor', 'meaning': 'Second-person verification of label'}], 'blockingRules': ['Drum not linked to a released MFD batch cannot be saved (QL1-11 genealogy mismatch)'], 'escalation': 'Genealogy mismatch: QA + Plant Head at T+0'}, {'formNo': 'FOR-KRT-105', 'title': 'Salt Run Log', 'revision': 'Rev. A (demo)', 'effective': '2026-09-01', 'assets': ['L1-SLT-01', 'L1-SDR-01'], 'level': 'batch', 'demo': True, 'purpose': 'MIT acetate salt formation and vacuum drying.', 'governingSop': ['OBX salt formation work instruction (number TBC)'], 'recordModel': 'Salt section per MAS run; Dry section per MSD run', 'demoLayout': True, 'sections': [{'id': 'SALT', 'title': 'Salt formation', 'appliesTo': ['L1-SLT'], 'fields': [{'key': 'RUN_ID', 'label': 'Salt run ID', 'type': 'id', 'capture': 'genealogy', 'source': 'ERP', 'required': True, 'help': 'Format MAS-26-nnnn'}, {'key': 'DRUMS', 'label': 'Freebase drums consumed', 'type': 'multiselect', 'capture': 'manual', 'source': 'Manual', 'required': True, 'help': 'Scan each drum'}, {'key': 'FB_KG', 'label': 'Freebase charged', 'type': 'number', 'capture': 'scale', 'source': 'Scale', 'required': True, 'unit': 'kg', 'decimals': 2}, {'key': 'ACID_CALC_KG', 'label': 'Acetic acid - calculated', 'type': 'number', 'capture': 'calc', 'source': 'Calculated', 'required': True, 'unit': 'kg', 'decimals': 2, 'rule': 'Freebase kg x 0.151 (stoichiometric, demo)'}, {'key': 'ACID_ACT_KG', 'label': 'Acetic acid - actual', 'type': 'number', 'capture': 'manual', 'source': 'Manual', 'required': True, 'unit': 'kg', 'decimals': 2, 'rule': 'Within +/-2 %'}, {'key': 'T_REACT', 'label': 'Reaction temperature (avg)', 'type': 'number', 'capture': 'live', 'source': 'Controller', 'required': True, 'tag': 'T_INT', 'unit': 'degC', 'decimals': 1, 'min': 40, 'max': 50}, {'key': 'PH_END', 'label': 'Final pH', 'type': 'number', 'capture': 'manual', 'source': 'Manual', 'required': True, 'unit': 'pH', 'decimals': 2, 'min': 4.6, 'max': 5.4}, {'key': 'WET_KG', 'label': 'Salt output (wet)', 'type': 'number', 'capture': 'scale', 'source': 'Scale', 'required': True, 'unit': 'kg', 'decimals': 2}, {'key': 'INITIALS', 'label': 'Operator initials (e-sign)', 'type': 'esign', 'capture': 'manual', 'source': 'Manual', 'required': True}]}, {'id': 'DRY', 'title': 'Vacuum drying', 'appliesTo': ['L1-SDR'], 'fields': [{'key': 'DRY_ID', 'label': 'Dryer run ID', 'type': 'id', 'capture': 'genealogy', 'source': 'ERP', 'required': True, 'help': 'Format MSD-26-nnnn'}, {'key': 'DRY_TEMP', 'label': 'Dryer temperature (avg)', 'type': 'number', 'capture': 'live', 'source': 'Controller', 'required': True, 'unit': 'degC', 'decimals': 1, 'min': 45, 'max': 55}, {'key': 'DRY_VAC', 'label': 'Dryer vacuum (avg)', 'type': 'number', 'capture': 'live', 'source': 'Controller', 'required': True, 'unit': 'mbar', 'decimals': 0, 'max': 60}, {'key': 'DRY_H', 'label': 'Drying time', 'type': 'number', 'capture': 'calc', 'source': 'Calculated', 'required': True, 'unit': 'h', 'decimals': 1}, {'key': 'LOD', 'label': 'Loss on drying', 'type': 'number', 'capture': 'lims', 'source': 'LIMS/COA', 'required': True, 'unit': '%', 'decimals': 2, 'max': 0.5}, {'key': 'ASSAY', 'label': 'MIT acetate assay', 'type': 'number', 'capture': 'lims', 'source': 'LIMS/COA', 'required': True, 'unit': '%', 'decimals': 1, 'min': 98}, {'key': 'DRY_KG', 'label': 'Dry salt out', 'type': 'number', 'capture': 'scale', 'source': 'Scale', 'required': True, 'unit': 'kg', 'decimals': 2}, {'key': 'INITIALS', 'label': 'Operator initials (e-sign)', 'type': 'esign', 'capture': 'manual', 'source': 'Manual', 'required': True}]}], 'signoff': [{'step': 'Perform', 'role': 'Operator', 'meaning': 'I performed / observed these entries'}, {'step': 'Review', 'role': 'Shift Supervisor', 'meaning': 'Reviewed for completeness; exceptions addressed'}, {'step': 'Approve', 'role': 'QA', 'meaning': 'QA approval - record locked'}], 'blockingRules': ['Assay &lt; 98.0 % forces Quality Loss QL1-12', 'Final pH out of range requires comment'], 'escalation': 'Batch record review pending: Supervisor @ close+4 h, QA @ +24 h, PM @ +72 h'}, {'formNo': 'LOG-SHIFT', 'title': 'Shift Handover', 'revision': 'Rev. A (demo)', 'effective': '2026-09-01', 'assets': [], 'level': 'shift', 'demo': True, 'purpose': 'Per-line shift handover: auto summary from I/O Sense plus supervisor notes; signed by outgoing and incoming supervisor.', 'governingSop': ['Demo format'], 'recordModel': 'One record per line per shift', 'demoLayout': False, 'sections': [{'id': 'AUTO', 'title': 'Auto summary (read-only)', 'fields': [{'key': 'LINE', 'label': 'Line', 'type': 'select', 'capture': 'system', 'source': 'Calculated', 'required': True, 'options': ['L1', 'L2']}, {'key': 'SHIFT', 'label': 'Shift', 'type': 'select', 'capture': 'system', 'source': 'Calculated', 'required': True, 'options': ['A', 'B']}, {'key': 'RUN_H', 'label': 'Constraint run time', 'type': 'number', 'capture': 'calc', 'source': 'Calculated', 'required': True, 'unit': 'h', 'decimals': 1}, {'key': 'UNPLANNED_H', 'label': 'Unplanned downtime (all assets)', 'type': 'number', 'capture': 'calc', 'source': 'Calculated', 'required': True, 'unit': 'h', 'decimals': 1}, {'key': 'TOP_DT', 'label': 'Top 3 downtime reasons', 'type': 'longtext', 'capture': 'calc', 'source': 'Calculated', 'required': True}, {'key': 'UNTAGGED', 'label': 'Untagged stops', 'type': 'number', 'capture': 'calc', 'source': 'Calculated', 'required': True, 'decimals': 0, 'max': 0}, {'key': 'QL_KG', 'label': 'Quality loss', 'type': 'number', 'capture': 'calc', 'source': 'Calculated', 'required': True, 'unit': 'kg', 'decimals': 1}, {'key': 'OPEN_DEV', 'label': 'Open deviations', 'type': 'number', 'capture': 'calc', 'source': 'Calculated', 'required': True, 'decimals': 0}, {'key': 'BATCHES_WIP', 'label': 'Batches in progress', 'type': 'longtext', 'capture': 'calc', 'source': 'Calculated', 'required': True}]}, {'id': 'NOTES', 'title': 'Supervisor notes', 'fields': [{'key': 'SAFETY', 'label': 'Safety observations', 'type': 'longtext', 'capture': 'manual', 'source': 'Manual', 'required': True, 'editableBy': ['Shift Supervisor']}, {'key': 'NOTES', 'label': 'Handover notes', 'type': 'longtext', 'capture': 'manual', 'source': 'Manual', 'required': True, 'editableBy': ['Shift Supervisor']}, {'key': 'ACTIONS', 'label': 'Pending actions', 'type': 'longtext', 'capture': 'manual', 'source': 'Manual', 'required': False, 'editableBy': ['Shift Supervisor']}, {'key': 'OUT_SIGN', 'label': 'Outgoing supervisor (e-sign)', 'type': 'esign', 'capture': 'manual', 'source': 'Manual', 'required': True, 'editableBy': ['Shift Supervisor']}, {'key': 'IN_SIGN', 'label': 'Incoming supervisor (e-sign)', 'type': 'esign', 'capture': 'manual', 'source': 'Manual', 'required': True, 'editableBy': ['Shift Supervisor']}]}], 'signoff': [{'step': 'Perform', 'role': 'Shift Supervisor', 'meaning': 'Outgoing handover'}, {'step': 'Review', 'role': 'Shift Supervisor', 'meaning': 'Incoming acceptance'}], 'blockingRules': ['Cannot sign while untagged stops &gt; 0 on the shift unless each is acknowledged'], 'escalation': 'Untagged downtime at shift end: Supervisor @ shift end + 30 min'}, {'formNo': 'LOG-EQ-DAILY', 'title': 'Daily Equipment Checklist', 'revision': 'Rev. A (demo)', 'effective': '2026-09-01', 'assets': [], 'level': 'day', 'demo': True, 'purpose': 'Daily per-asset condition checks. Items shown depend on asset type; photo required on fail.', 'governingSop': ['Demo format'], 'recordModel': 'One record per asset per shift', 'demoLayout': False, 'sections': [{'id': 'CHECKS', 'title': 'Checks', 'fields': [{'key': 'VP_OIL', 'label': 'Vacuum pump oil level / colour', 'type': 'passfail', 'capture': 'manual', 'source': 'Manual', 'required': True, 'appliesTo': ['L2-WFE', 'L2-VO', 'L1-SDR', 'L1-FIL']}, {'key': 'CHL_GLYCOL', 'label': 'Chiller glycol level', 'type': 'passfail', 'capture': 'manual', 'source': 'Manual', 'required': True, 'appliesTo': ['L2-WFE', 'L2-ISO', 'L1-CRY']}, {'key': 'COLD_TRAP', 'label': 'Cold trap condition', 'type': 'passfail', 'capture': 'manual', 'source': 'Manual', 'required': True, 'appliesTo': ['L2-WFE']}, {'key': 'WIPER_NOISE', 'label': 'Wiper / rotor noise &amp; vibration', 'type': 'passfail', 'capture': 'manual', 'source': 'Manual', 'required': True, 'appliesTo': ['L2-WFE']}, {'key': 'PH_BUFFER', 'label': 'pH probe buffer verification (pH 7 / 10)', 'type': 'passfail', 'capture': 'manual', 'source': 'Manual', 'required': True, 'appliesTo': ['L1-CRY', 'L1-LLE', 'L1-EXT']}, {'key': 'SCALE_VERIF', 'label': 'Scale verification weight', 'type': 'passfail', 'capture': 'manual', 'source': 'Manual', 'required': True, 'appliesTo': ['L1-FIL', 'L2-BUF']}, {'key': 'AGIT', 'label': 'Agitator noise / seal', 'type': 'passfail', 'capture': 'manual', 'source': 'Manual', 'required': True, 'appliesTo': ['L2-ISO', 'L2-RXN', 'L1-CRY', 'L1-SLT']}, {'key': 'LEAKS', 'label': 'Leaks (solvent / utility)', 'type': 'passfail', 'capture': 'manual', 'source': 'Manual', 'required': True}, {'key': 'HOUSEKEEPING', 'label': 'Housekeeping', 'type': 'passfail', 'capture': 'manual', 'source': 'Manual', 'required': True}, {'key': 'PHOTO', 'label': 'Photo of failed item', 'type': 'photo', 'capture': 'manual', 'source': 'Manual', 'required': False, 'help': 'Required when any item = Fail'}, {'key': 'REMARKS', 'label': 'Remarks', 'type': 'longtext', 'capture': 'manual', 'source': 'Manual', 'required': False}, {'key': 'INITIALS', 'label': 'Operator initials (e-sign)', 'type': 'esign', 'capture': 'manual', 'source': 'Manual', 'required': True}]}], 'signoff': [{'step': 'Perform', 'role': 'Operator', 'meaning': 'Checks performed'}, {'step': 'Review', 'role': 'Shift Supervisor', 'meaning': 'Reviewed'}], 'blockingRules': ['Any Fail requires photo + remark and creates a maintenance request'], 'escalation': 'Daily checklist not done: Operator @ shift end, Supervisor @ +1 h, Production Manager @ +24 h'}, {'formNo': 'LOG-CAL', 'title': 'Calibration Log', 'revision': 'Rev. A (demo)', 'effective': '2026-09-01', 'assets': [], 'level': 'event', 'demo': True, 'purpose': 'Instrument calibration / verification events (pH probes, RTDs, vacuum gauges, scales).', 'governingSop': ['Demo format'], 'recordModel': 'One record per calibration event', 'demoLayout': False, 'sections': [{'id': 'CAL', 'title': 'Calibration', 'fields': [{'key': 'INSTRUMENT', 'label': 'Instrument / tag', 'type': 'text', 'capture': 'manual', 'source': 'Manual', 'required': True}, {'key': 'ASSET', 'label': 'Asset', 'type': 'text', 'capture': 'manual', 'source': 'Manual', 'required': True}, {'key': 'STANDARD', 'label': 'Reference standard ID', 'type': 'text', 'capture': 'manual', 'source': 'Manual', 'required': True}, {'key': 'AS_FOUND', 'label': 'As-found reading', 'type': 'number', 'capture': 'manual', 'source': 'Manual', 'required': True, 'decimals': 3}, {'key': 'AS_LEFT', 'label': 'As-left reading', 'type': 'number', 'capture': 'manual', 'source': 'Manual', 'required': True, 'decimals': 3}, {'key': 'REFERENCE', 'label': 'Reference value', 'type': 'number', 'capture': 'manual', 'source': 'Manual', 'required': True, 'decimals': 3}, {'key': 'TOLERANCE', 'label': 'Tolerance (+/-)', 'type': 'number', 'capture': 'manual', 'source': 'Manual', 'required': True, 'decimals': 3}, {'key': 'RESULT', 'label': 'Result', 'type': 'passfail', 'capture': 'calc', 'source': 'Calculated', 'required': True, 'rule': '|as-found - reference| &lt;= tolerance'}, {'key': 'NEXT_DUE', 'label': 'Next due', 'type': 'datetime', 'capture': 'calc', 'source': 'Calculated', 'required': True}, {'key': 'TECH', 'label': 'Technician (e-sign)', 'type': 'esign', 'capture': 'manual', 'source': 'Manual', 'required': True}]}], 'signoff': [{'step': 'Perform', 'role': 'Operator', 'meaning': 'Calibrated'}, {'step': 'Approve', 'role': 'QA', 'meaning': 'Calibration accepted'}], 'blockingRules': ['As-found fail triggers impact assessment on batches since last pass (links deviations)'], 'escalation': 'As-found fail: QA at T+0'}, {'formNo': 'LOG-SOLV', 'title': 'Solvent Inventory (L1 heptane)', 'revision': 'Rev. A (demo)', 'effective': '2026-09-01', 'assets': ['L1-SRU-01'], 'level': 'day', 'demo': True, 'purpose': 'Daily heptane reconciliation: opening/closing tank levels, receipts, transfers, recovered, calculated loss per kg MIT.', 'governingSop': ['Demo format'], 'recordModel': 'One record per production day', 'demoLayout': False, 'sections': [{'id': 'BAL', 'title': 'Heptane balance', 'fields': [{'key': 'DAY', 'label': 'Production day', 'type': 'datetime', 'capture': 'system', 'source': 'Calculated', 'required': True}, {'key': 'OPEN_L', 'label': 'Opening inventory (HEP-T01 + T02)', 'type': 'number', 'capture': 'manual', 'source': 'Manual', 'required': True, 'unit': 'L', 'decimals': 0}, {'key': 'RECEIPT_L', 'label': 'Fresh receipts', 'type': 'number', 'capture': 'erp', 'source': 'ERP', 'required': True, 'unit': 'L', 'decimals': 0}, {'key': 'RECOVERED_L', 'label': 'Recovered (SRU totaliser)', 'type': 'number', 'capture': 'calc', 'source': 'Controller', 'required': True, 'unit': 'L', 'decimals': 0}, {'key': 'TO_LLE_L', 'label': 'Issued to LLE', 'type': 'number', 'capture': 'calc', 'source': 'Controller', 'required': True, 'unit': 'L', 'decimals': 0}, {'key': 'TO_WASH_L', 'label': 'Issued to crystallization / cake wash', 'type': 'number', 'capture': 'manual', 'source': 'Manual', 'required': True, 'unit': 'L', 'decimals': 0}, {'key': 'CLOSE_L', 'label': 'Closing inventory', 'type': 'number', 'capture': 'manual', 'source': 'Manual', 'required': True, 'unit': 'L', 'decimals': 0}, {'key': 'LOSS_L', 'label': 'Calculated loss', 'type': 'number', 'capture': 'calc', 'source': 'Calculated', 'required': True, 'unit': 'L', 'decimals': 0, 'rule': 'Issued to LLE + wash - recovered (tank gap reported separately)'}, {'key': 'MIT_KG', 'label': 'MIT freebase produced', 'type': 'number', 'capture': 'calc', 'source': 'Calculated', 'required': True, 'unit': 'kg', 'decimals': 1}, {'key': 'LOSS_PER_KG', 'label': 'Heptane loss per kg MIT', 'type': 'number', 'capture': 'calc', 'source': 'Calculated', 'required': True, 'unit': 'L/kg', 'decimals': 2, 'max': 4}, {'key': 'INITIALS', 'label': 'Operator initials (e-sign)', 'type': 'esign', 'capture': 'manual', 'source': 'Manual', 'required': True}]}], 'signoff': [{'step': 'Perform', 'role': 'Operator', 'meaning': 'Levels read'}, {'step': 'Review', 'role': 'Production Manager', 'meaning': 'Reconciliation reviewed'}], 'blockingRules': ['Loss per kg above target requires comment'], 'escalation': 'Heptane loss &gt; target: Production Manager on lot close'}, {'formNo': 'LOG-CLEAN', 'title': 'Cleaning / Changeover', 'revision': 'Rev. A (demo)', 'effective': '2026-09-01', 'assets': [], 'level': 'event', 'demo': True, 'purpose': 'Equipment cleaning and product changeover with release to next batch.', 'governingSop': ['Demo format'], 'recordModel': 'One record per CLEAN phase / changeover', 'demoLayout': False, 'sections': [{'id': 'CLEAN', 'title': 'Cleaning', 'fields': [{'key': 'ASSET', 'label': 'Asset', 'type': 'text', 'capture': 'system', 'source': 'Calculated', 'required': True}, {'key': 'PREV_BATCH', 'label': 'Previous batch', 'type': 'id', 'capture': 'genealogy', 'source': 'ERP', 'required': True}, {'key': 'PREV_PRODUCT', 'label': 'Previous product', 'type': 'text', 'capture': 'genealogy', 'source': 'ERP', 'required': True}, {'key': 'METHOD', 'label': 'Cleaning method', 'type': 'select', 'capture': 'manual', 'source': 'Manual', 'required': True, 'options': ['Heptane flush', 'Ethanol rinse', 'Hot water + detergent', 'Dry wipe-down']}, {'key': 'START', 'label': 'Start', 'type': 'datetime', 'capture': 'milestone', 'source': 'Calculated', 'required': True}, {'key': 'END', 'label': 'End', 'type': 'datetime', 'capture': 'milestone', 'source': 'Calculated', 'required': True}, {'key': 'VISUAL_CLEAN', 'label': 'Visually clean', 'type': 'attest', 'capture': 'manual', 'source': 'Manual', 'required': True}, {'key': 'INITIALS', 'label': 'Operator initials (e-sign)', 'type': 'esign', 'capture': 'manual', 'source': 'Manual', 'required': True}, {'key': 'RELEASED_BY', 'label': 'Released for next batch (e-sign)', 'type': 'esign', 'capture': 'manual', 'source': 'Manual', 'required': True, 'editableBy': ['Shift Supervisor']}]}], 'signoff': [{'step': 'Perform', 'role': 'Operator', 'meaning': 'Cleaned'}, {'step': 'Verify', 'role': 'Shift Supervisor', 'meaning': 'Released'}], 'blockingRules': ['Next batch cannot start on the asset until RELEASED_BY is signed'], 'escalation': 'None (informational)'}]"/>
      <family val="0"/>
      <charset val="1"/>
    </font>
    <font>
      <i val="true"/>
      <sz val="9"/>
      <color rgb="FF5A6B80"/>
      <name val="[{'formNo': 'FOR-BIP-009', 'title': '1M Distillation Log', 'revision': 'Rev. 2', 'effective': '2025-11-17', 'assets': ['L2-WFE-1M'], 'level': 'entry', 'everyH': 2, 'demo': False, 'purpose': 'Record 1M wiped-film deterpenation run: setpoints vs actuals every 2 h, mass in/out, shift handoff.', 'governingSop': ['SOP-BIP-004 / SOP-BIP-006 (governing scope unresolved)'], 'recordModel': 'One record per 1M batch; one entry per 2-hour check row + one close entry', 'demoLayout': True, 'sections': [{'id': 'HEADER', 'title': 'Batch header', 'fields': [{'key': 'BATCH_ID', 'label': 'Distillation batch ID', 'type': 'id', 'capture': 'genealogy', 'source': 'ERP', 'required': True, 'help': 'Format 1M-YYMMDD-NN'}, {'key': 'INPUT_LOTS', 'label': 'Source crude / WDC lot(s)', 'type': 'multiselect', 'capture': 'genealogy', 'source': 'ERP', 'required': True}, {'key': 'ASSET', 'label': 'Equipment', 'type': 'text', 'capture': 'system', 'source': 'Calculated', 'required': True}, {'key': 'START_TIME', 'label': 'Run start', 'type': 'datetime', 'capture': 'milestone', 'source': 'Calculated', 'required': True, 'rule': 'First STEADY FEED timestamp from state engine'}]}, {'id': 'HANDOFF', 'title': 'Shift handoff', 'fields': [{'key': 'OUT_OPERATOR', 'label': 'Outgoing operator', 'type': 'esign', 'capture': 'manual', 'source': 'Manual', 'required': True}, {'key': 'IN_OPERATOR', 'label': 'Incoming operator', 'type': 'esign', 'capture': 'manual', 'source': 'Manual', 'required': True}, {'key': 'HANDOFF_TIME', 'label': 'Handoff time', 'type': 'datetime', 'capture': 'manual', 'source': 'Manual', 'required': True}, {'key': 'HANDOFF_NOTES', 'label': 'Handoff notes', 'type': 'longtext', 'capture': 'manual', 'source': 'Manual', 'required': False}]}, {'id': 'CHECK', 'title': '2-hour check', 'repeat': {'min': 1, 'max': 12, 'label': 'Check'}, 'fields': [{'key': 'CHECK_TIME', 'label': 'Check time', 'type': 'datetime', 'capture': 'system', 'source': 'Calculated', 'required': True}, {'key': 'WIPER_SP', 'label': 'Wiper speed SP', 'type': 'number', 'capture': 'live', 'source': 'Controller', 'required': True, 'unit': 'rpm', 'target': 300, 'decimals': 1, 'help': 'Setpoint read from controller'}, {'key': 'WIPER_PV', 'label': 'Wiper speed actual', 'type': 'number', 'capture': 'live', 'source': 'Controller', 'required': True, 'tag': 'WIPER_PV', 'unit': 'rpm', 'decimals': 0, 'min': 280, 'max': 320}, {'key': 'FEED_SP', 'label': 'Feed rate SP', 'type': 'number', 'capture': 'live', 'source': 'Controller', 'required': True, 'unit': 'kg/h', 'target': 5, 'decimals': 1, 'help': 'Setpoint read from controller'}, {'key': 'FEED_PV', 'label': 'Feed rate actual', 'type': 'number', 'capture': 'live', 'source': 'Controller', 'required': True, 'tag': 'FEED_PV', 'unit': 'kg/h', 'decimals': 2, 'min': 4, 'max': 6}, {'key': 'RUNOFF', 'label': 'Run-off observation', 'type': 'select', 'capture': 'manual', 'source': 'Manual', 'required': True, 'options': ['Steady flow', 'Slow flow', 'Intermittent', 'No flow']}, {'key': 'RUNOFF_TARGET', 'label': 'Target (per SOP)', 'type': 'text', 'capture': 'system', 'source': 'Calculated', 'required': False, 'help': 'Displayed from SOP; confirm column meaning with OBX'}, {'key': 'VAC_PV', 'label': 'Vacuum', 'type': 'number', 'capture': 'live', 'source': 'Controller', 'required': True, 'tag': 'VAC_PV', 'unit': 'mbar', 'decimals': 3, 'max': 1.5}, {'key': 'EVAP_SP', 'label': 'Evaporator temp SP', 'type': 'number', 'capture': 'live', 'source': 'Controller', 'required': True, 'unit': 'degC', 'target': 150, 'decimals': 1, 'help': 'Setpoint read from controller'}, {'key': 'EVAP_PV', 'label': 'Evaporator temp actual', 'type': 'number', 'capture': 'live', 'source': 'Controller', 'required': True, 'tag': 'EVAP_PV', 'unit': 'degC', 'decimals': 1, 'min': 145, 'max': 155}, {'key': 'COND_SP', 'label': 'Condenser temp SP', 'type': 'number', 'capture': 'live', 'source': 'Controller', 'required': True, 'unit': 'degC', 'target': 50, 'decimals': 1, 'help': 'Setpoint read from controller'}, {'key': 'COND_PV', 'label': 'Condenser temp actual', 'type': 'number', 'capture': 'live', 'source': 'Controller', 'required': True, 'tag': 'COND_PV', 'unit': 'degC', 'decimals': 1, 'min': 45, 'max': 55}, {'key': 'CHL_SP', 'label': 'Chiller temp SP', 'type': 'number', 'capture': 'live', 'source': 'Controller', 'required': True, 'unit': 'degC', 'target': -10, 'decimals': 1, 'help': 'Setpoint read from controller'}, {'key': 'CHL_PV', 'label': 'Chiller temp actual', 'type': 'number', 'capture': 'live', 'source': 'Controller', 'required': True, 'tag': 'CHL_PV', 'unit': 'degC', 'decimals': 1, 'min': -15, 'max': -5}, {'key': 'ACK', 'label': 'Operator acknowledges auto values', 'type': 'attest', 'capture': 'manual', 'source': 'Manual', 'required': True}, {'key': 'INITIALS', 'label': 'Operator initials (e-sign)', 'type': 'esign', 'capture': 'manual', 'source': 'Manual', 'required': True}]}, {'id': 'CLOSE', 'title': 'Mass &amp; timing (batch close)', 'fields': [{'key': 'MASS_IN', 'label': 'Mass in', 'type': 'number', 'capture': 'scale', 'source': 'Scale', 'required': True, 'unit': 'kg', 'decimals': 1}, {'key': 'MASS_DIST', 'label': 'Mass distillate (terpene cut)', 'type': 'number', 'capture': 'scale', 'source': 'Scale', 'required': True, 'unit': 'kg', 'decimals': 1}, {'key': 'MASS_RES', 'label': 'Mass residue (run-off to 2M)', 'type': 'number', 'capture': 'scale', 'source': 'Scale', 'required': True, 'unit': 'kg', 'decimals': 1}, {'key': 'MASS_BAL', 'label': 'Mass balance', 'type': 'number', 'capture': 'calc', 'source': 'Calculated', 'required': True, 'unit': '%', 'decimals': 1, 'min': 97, 'max': 101, 'rule': '(distillate + residue) / mass in x 100'}, {'key': 'STOP_TIME', 'label': 'Run stop', 'type': 'datetime', 'capture': 'milestone', 'source': 'Calculated', 'required': True}, {'key': 'RUN_H', 'label': 'Total run time', 'type': 'number', 'capture': 'calc', 'source': 'Calculated', 'required': True, 'unit': 'h', 'decimals': 2, 'rule': 'Sum of RUN time in STEADY FEED'}]}, {'id': 'EXCEPTIONS', 'title': 'Exceptions', 'fields': [{'key': 'DEV_REF', 'label': 'Deviation reference', 'type': 'link', 'capture': 'manual', 'source': 'Manual', 'required': False}, {'key': 'COMMENTS', 'label': 'Comments', 'type': 'longtext', 'capture': 'manual', 'source': 'Manual', 'required': False}]}], 'signoff': [{'step': 'Perform', 'role': 'Operator', 'meaning': 'I performed / observed these entries'}, {'step': 'Review', 'role': 'Shift Supervisor', 'meaning': 'Reviewed for completeness; exceptions addressed'}, {'step': 'Approve', 'role': 'QA', 'meaning': 'QA approval - record locked'}], 'blockingRules': ['Any live value outside min/max blocks submit until comment + deviation link', 'Check row cannot be submitted &gt; 30 min after due without late-entry reason'], 'escalation': 'Logbook entry overdue (2-h check): Operator @ due+10 min, Supervisor @ +30 min, Production Manager @ +2 h'}, {'formNo': 'FOR-BIP-010', 'title': '2M Distillation Log', 'revision': 'Rev. 2', 'effective': '2025-11-17', 'assets': ['L2-WFE-2M'], 'level': 'entry', 'everyH': 2, 'demo': False, 'purpose': 'Record 2M WFE / FSD distillation run (constraint asset): 2-hour checks, oil additions, distillate mass and potency.', 'governingSop': ['SOP-BIP-004 / SOP-BIP-006 (governing scope unresolved)'], 'recordModel': 'One record per 2M batch; one entry per 2-hour check row + oil additions + one close entry', 'demoLayout': True, 'sections': [{'id': 'HEADER', 'title': 'Batch header', 'fields': [{'key': 'BATCH_ID', 'label': 'Distillation batch ID', 'type': 'id', 'capture': 'genealogy', 'source': 'ERP', 'required': True, 'help': 'Format 2M-YYMMDD-NN'}, {'key': 'INPUT_LOTS', 'label': 'Source 1M residue lot(s)', 'type': 'multiselect', 'capture': 'genealogy', 'source': 'ERP', 'required': True}, {'key': 'ASSET', 'label': 'Equipment', 'type': 'text', 'capture': 'system', 'source': 'Calculated', 'required': True}, {'key': 'START_TIME', 'label': 'Run start', 'type': 'datetime', 'capture': 'milestone', 'source': 'Calculated', 'required': True, 'rule': 'First STEADY FEED timestamp from state engine'}]}, {'id': 'HANDOFF', 'title': 'Shift handoff', 'fields': [{'key': 'OUT_OPERATOR', 'label': 'Outgoing operator', 'type': 'esign', 'capture': 'manual', 'source': 'Manual', 'required': True}, {'key': 'IN_OPERATOR', 'label': 'Incoming operator', 'type': 'esign', 'capture': 'manual', 'source': 'Manual', 'required': True}, {'key': 'HANDOFF_TIME', 'label': 'Handoff time', 'type': 'datetime', 'capture': 'manual', 'source': 'Manual', 'required': True}, {'key': 'HANDOFF_NOTES', 'label': 'Handoff notes', 'type': 'longtext', 'capture': 'manual', 'source': 'Manual', 'required': False}]}, {'id': 'CHECK', 'title': '2-hour check', 'repeat': {'min': 1, 'max': 12, 'label': 'Check'}, 'fields': [{'key': 'CHECK_TIME', 'label': 'Check time', 'type': 'datetime', 'capture': 'system', 'source': 'Calculated', 'required': True}, {'key': 'WIPER_SP', 'label': 'Wiper speed SP', 'type': 'number', 'capture': 'live', 'source': 'Controller', 'required': True, 'unit': 'rpm', 'target': 300, 'decimals': 1, 'help': 'Setpoint read from controller'}, {'key': 'WIPER_PV', 'label': 'Wiper speed actual', 'type': 'number', 'capture': 'live', 'source': 'Controller', 'required': True, 'tag': 'WIPER_PV', 'unit': 'rpm', 'decimals': 0, 'min': 280, 'max': 320}, {'key': 'FEED_SP', 'label': 'Feed rate SP', 'type': 'number', 'capture': 'live', 'source': 'Controller', 'required': True, 'unit': 'kg/h', 'target': 3.5, 'decimals': 1, 'help': 'Setpoint read from controller'}, {'key': 'FEED_PV', 'label': 'Feed rate actual', 'type': 'number', 'capture': 'live', 'source': 'Controller', 'required': True, 'tag': 'FEED_PV', 'unit': 'kg/h', 'decimals': 2, 'min': 3, 'max': 4}, {'key': 'RUNOFF', 'label': 'Run-off observation', 'type': 'select', 'capture': 'manual', 'source': 'Manual', 'required': True, 'options': ['Steady flow', 'Slow flow', 'Intermittent', 'No flow']}, {'key': 'RUNOFF_TARGET', 'label': 'Target (per SOP)', 'type': 'text', 'capture': 'system', 'source': 'Calculated', 'required': False, 'help': 'Displayed from SOP; confirm column meaning with OBX'}, {'key': 'VAC_PV', 'label': 'Vacuum', 'type': 'number', 'capture': 'live', 'source': 'Controller', 'required': True, 'tag': 'VAC_PV', 'unit': 'mbar', 'decimals': 3, 'max': 0.05}, {'key': 'EVAP_SP', 'label': 'Evaporator temp SP', 'type': 'number', 'capture': 'live', 'source': 'Controller', 'required': True, 'unit': 'degC', 'target': 175, 'decimals': 1, 'help': 'Setpoint read from controller'}, {'key': 'EVAP_PV', 'label': 'Evaporator temp actual', 'type': 'number', 'capture': 'live', 'source': 'Controller', 'required': True, 'tag': 'EVAP_PV', 'unit': 'degC', 'decimals': 1, 'min': 170, 'max': 180}, {'key': 'COND_SP', 'label': 'Condenser temp SP', 'type': 'number', 'capture': 'live', 'source': 'Controller', 'required': True, 'unit': 'degC', 'target': 70, 'decimals': 1, 'help': 'Setpoint read from controller'}, {'key': 'COND_PV', 'label': 'Condenser temp actual', 'type': 'number', 'capture': 'live', 'source': 'Controller', 'required': True, 'tag': 'COND_PV', 'unit': 'degC', 'decimals': 1, 'min': 65, 'max': 75}, {'key': 'CHL_SP', 'label': 'Chiller temp SP', 'type': 'number', 'capture': 'live', 'source': 'Controller', 'required': True, 'unit': 'degC', 'target': -15, 'decimals': 1, 'help': 'Setpoint read from controller'}, {'key': 'CHL_PV', 'label': 'Chiller temp actual', 'type': 'number', 'capture': 'live', 'source': 'Controller', 'required': True, 'tag': 'CHL_PV', 'unit': 'degC', 'decimals': 1, 'min': -20, 'max': -10}, {'key': 'ACK', 'label': 'Operator acknowledges auto values', 'type': 'attest', 'capture': 'manual', 'source': 'Manual', 'required': True}, {'key': 'INITIALS', 'label': 'Operator initials (e-sign)', 'type': 'esign', 'capture': 'manual', 'source': 'Manual', 'required': True}]}, {'id': 'OIL', 'title': 'Oil added', 'repeat': {'min': 0, 'max': 6, 'label': 'Addition'}, 'fields': [{'key': 'OIL_TIME', 'label': 'Oil-added time', 'type': 'datetime', 'capture': 'manual', 'source': 'Manual', 'required': True}, {'key': 'OIL_KG', 'label': 'Oil added', 'type': 'number', 'capture': 'scale', 'source': 'Scale', 'required': True, 'unit': 'kg', 'decimals': 2}, {'key': 'OIL_CONFIRM', 'label': 'Oil addition confirmed', 'type': 'attest', 'capture': 'manual', 'source': 'Manual', 'required': True}, {'key': 'INITIALS', 'label': 'Operator initials (e-sign)', 'type': 'esign', 'capture': 'manual', 'source': 'Manual', 'required': True}]}, {'id': 'CLOSE', 'title': 'Mass &amp; timing (batch close)', 'fields': [{'key': 'MASS_IN', 'label': 'Mass in', 'type': 'number', 'capture': 'scale', 'source': 'Scale', 'required': True, 'unit': 'kg', 'decimals': 1}, {'key': 'MASS_DIST', 'label': 'Mass distillate', 'type': 'number', 'capture': 'scale', 'source': 'Scale', 'required': True, 'unit': 'kg', 'decimals': 1}, {'key': 'MASS_RES', 'label': 'Mass residue', 'type': 'number', 'capture': 'scale', 'source': 'Scale', 'required': True, 'unit': 'kg', 'decimals': 1}, {'key': 'MASS_BAL', 'label': 'Mass balance', 'type': 'number', 'capture': 'calc', 'source': 'Calculated', 'required': True, 'unit': '%', 'decimals': 1, 'min': 97, 'max': 101, 'rule': '(distillate + residue) / mass in x 100'}, {'key': 'STOP_TIME', 'label': 'Run stop', 'type': 'datetime', 'capture': 'milestone', 'source': 'Calculated', 'required': True}, {'key': 'RUN_H', 'label': 'Total run time', 'type': 'number', 'capture': 'calc', 'source': 'Calculated', 'required': True, 'unit': 'h', 'decimals': 2, 'rule': 'Sum of RUN time in STEADY FEED'}]}, {'id': 'DISTILLATE', 'title': 'Distillate quality', 'fields': [{'key': 'POTENCY', 'label': 'Distillate potency (total cannabinoids)', 'type': 'number', 'capture': 'lims', 'source': 'LIMS/COA', 'required': True, 'unit': '%', 'decimals': 1, 'min': 85}, {'key': 'D9_THC', 'label': 'Delta-9 THC', 'type': 'number', 'capture': 'lims', 'source': 'LIMS/COA', 'required': True, 'unit': '% w/w', 'decimals': 3, 'max': 0.3, 'help': 'Hold if above limit (QL2-05)'}, {'key': 'COLOUR', 'label': 'Distillate colour', 'type': 'select', 'capture': 'manual', 'source': 'Manual', 'required': True, 'options': ['Light gold', 'Gold', 'Amber', 'Dark']}]}, {'id': 'EXCEPTIONS', 'title': 'Exceptions', 'fields': [{'key': 'DEV_REF', 'label': 'Deviation reference', 'type': 'link', 'capture': 'manual', 'source': 'Manual', 'required': False}, {'key': 'COMMENTS', 'label': 'Comments', 'type': 'longtext', 'capture': 'manual', 'source': 'Manual', 'required': False}]}], 'signoff': [{'step': 'Perform', 'role': 'Operator', 'meaning': 'I performed / observed these entries'}, {'step': 'Review', 'role': 'Shift Supervisor', 'meaning': 'Reviewed for completeness; exceptions addressed'}, {'step': 'Approve', 'role': 'QA', 'meaning': 'QA approval - record locked'}], 'blockingRules': ['Vacuum &gt; 0.05 mbar blocks submit until comment + deviation', 'D9 THC above limit forces batch HOLD (QA only can release)'], 'escalation': 'Same as FOR-BIP-009; constraint-asset downtime linked from entry'}, {'formNo': 'FOR-BIP-004', 'title': 'Isolation Log', 'revision': 'Rev. 7', 'effective': '2026-01-16', 'assets': ['L2-ISO-A', 'L2-ISO-B', 'L2-ISO-C', 'L2-ISO-D', 'L2-ISO-E'], 'level': 'batch', 'demo': False, 'purpose': 'Record CBD isolation: charge, each crash (up to 4), -18 degC endpoint, rinses, trays / oven, isolate mass, visual checks.', 'governingSop': ['SOP-BIP-003'], 'recordModel': 'One record per reactor batch; one crash block per crash (batch IDs ...-C1..C4)', 'demoLayout': True, 'sections': [{'id': 'HEADER', 'title': 'Header', 'fields': [{'key': 'REACTOR', 'label': 'Reactor', 'type': 'select', 'capture': 'system', 'source': 'Calculated', 'required': True, 'options': ['ISO-A', 'ISO-B', 'ISO-C', 'ISO-D', 'ISO-E']}, {'key': 'BATCH_ID', 'label': 'Isolation batch ID', 'type': 'id', 'capture': 'genealogy', 'source': 'ERP', 'required': True, 'help': 'Format ISO-X-YYMMDD-NN-Cn'}, {'key': 'INPUT_LOTS', 'label': 'Input distillate lot(s)', 'type': 'multiselect', 'capture': 'genealogy', 'source': 'ERP', 'required': True}, {'key': 'INPUT_KG', 'label': 'Input mass', 'type': 'number', 'capture': 'scale', 'source': 'Scale', 'required': True, 'unit': 'kg', 'decimals': 1}]}, {'id': 'CHARGE', 'title': 'Solvent charge', 'fields': [{'key': 'HEP_CALC_L', 'label': 'Heptane charge - calculated', 'type': 'number', 'capture': 'calc', 'source': 'Calculated', 'required': True, 'unit': 'L', 'decimals': 1, 'rule': 'Input kg x 2.5 L/kg (demo factor)'}, {'key': 'HEP_ACT_L', 'label': 'Heptane charge - actual', 'type': 'number', 'capture': 'manual', 'source': 'Manual', 'required': True, 'unit': 'L', 'decimals': 1, 'rule': 'Within +/-2 % of calculated'}]}, {'id': 'CRASH', 'title': 'Crash', 'repeat': {'min': 1, 'max': 4, 'label': 'Crash'}, 'fields': [{'key': 'CRASH_NO', 'label': 'Crash no.', 'type': 'number', 'capture': 'system', 'source': 'Calculated', 'required': True, 'decimals': 0, 'min': 1, 'max': 4}, {'key': 'DISSOLVE_T', 'label': 'Dissolve temperature', 'type': 'number', 'capture': 'live', 'source': 'Controller', 'required': True, 'tag': 'T_INT', 'unit': 'degC', 'decimals': 1}, {'key': 'DISSOLVE_TIME', 'label': 'Dissolve complete', 'type': 'datetime', 'capture': 'milestone', 'source': 'Calculated', 'required': True}, {'key': 'COOL_START', 'label': 'Start cooling time', 'type': 'datetime', 'capture': 'milestone', 'source': 'Calculated', 'required': True}, {'key': 'REACHED_M18', 'label': 'Time internal temp reached -18 degC', 'type': 'datetime', 'capture': 'milestone', 'source': 'Controller', 'required': True, 'tag': 'T_INT', 'limitRef': 'SOP-BIP-003', 'rule': 'First time T_INT &lt;= -18.0 degC for 5 consecutive minutes'}, {'key': 'HOLD_START', 'label': 'Hold start', 'type': 'datetime', 'capture': 'milestone', 'source': 'Calculated', 'required': True}, {'key': 'HOLD_END', 'label': 'Hold end', 'type': 'datetime', 'capture': 'milestone', 'source': 'Calculated', 'required': True}, {'key': 'CRASH_END_T', 'label': 'Crash endpoint temperature', 'type': 'number', 'capture': 'calc', 'source': 'Calculated', 'required': True, 'unit': 'degC', 'decimals': 1, 'max': -18, 'limitRef': 'SOP-BIP-003', 'rule': 'Mean T_INT over last 30 min of HOLD'}, {'key': 'TRANSFER_TIME', 'label': 'Transfer / filter time', 'type': 'datetime', 'capture': 'manual', 'source': 'Manual', 'required': True}, {'key': 'RINSE1_L', 'label': 'Rinse 1 volume', 'type': 'number', 'capture': 'manual', 'source': 'Manual', 'required': True, 'unit': 'L', 'decimals': 1}, {'key': 'RINSE1_TIME', 'label': 'Rinse 1 time', 'type': 'datetime', 'capture': 'manual', 'source': 'Manual', 'required': True}, {'key': 'RINSE2_L', 'label': 'Rinse 2 volume', 'type': 'number', 'capture': 'manual', 'source': 'Manual', 'required': True, 'unit': 'L', 'decimals': 1}, {'key': 'RINSE2_TIME', 'label': 'Rinse 2 time', 'type': 'datetime', 'capture': 'manual', 'source': 'Manual', 'required': True}, {'key': 'RINSE3_L', 'label': 'Rinse 3 volume', 'type': 'number', 'capture': 'manual', 'source': 'Manual', 'required': True, 'unit': 'L', 'decimals': 1}, {'key': 'RINSE3_TIME', 'label': 'Rinse 3 time', 'type': 'datetime', 'capture': 'manual', 'source': 'Manual', 'required': True}, {'key': 'FLUFF_MIX', 'label': 'Fluff / mix done', 'type': 'attest', 'capture': 'manual', 'source': 'Manual', 'required': True}, {'key': 'TRAY_IN', 'label': 'Tray in time', 'type': 'datetime', 'capture': 'manual', 'source': 'Manual', 'required': True}, {'key': 'TRAY_OUT', 'label': 'Tray out time', 'type': 'datetime', 'capture': 'manual', 'source': 'Manual', 'required': True}, {'key': 'OVEN_ID', 'label': 'Vacuum oven', 'type': 'select', 'capture': 'manual', 'source': 'Manual', 'required': True, 'options': ['VO-01', 'VO-02']}, {'key': 'ISOLATE_KG', 'label': 'Isolate mass out', 'type': 'number', 'capture': 'scale', 'source': 'Scale', 'required': True, 'unit': 'kg', 'decimals': 2}, {'key': 'YIELD_PCT', 'label': 'Crash yield', 'type': 'number', 'capture': 'calc', 'source': 'Calculated', 'required': True, 'unit': '%', 'decimals': 1, 'rule': 'Isolate kg / input kg x 100'}, {'key': 'VIS_COLOUR', 'label': 'Visual - colour', 'type': 'select', 'capture': 'manual', 'source': 'Manual', 'required': True, 'options': ['White', 'Off-white', 'Yellow'], 'help': 'Operator judgement per SOP - never automated'}, {'key': 'VIS_DRYNESS', 'label': 'Visual - dryness', 'type': 'select', 'capture': 'manual', 'source': 'Manual', 'required': True, 'options': ['Dry', 'Slightly damp', 'Wet']}, {'key': 'VIS_CONDITION', 'label': 'Visual - material condition', 'type': 'select', 'capture': 'manual', 'source': 'Manual', 'required': True, 'options': ['Free-flowing crystals', 'Clumped', 'Glassy / oiled out']}, {'key': 'INITIALS', 'label': 'Operator initials (e-sign)', 'type': 'esign', 'capture': 'manual', 'source': 'Manual', 'required': True}]}, {'id': 'NOTES', 'title': 'Notes / exceptions', 'fields': [{'key': 'DEV_REF', 'label': 'Deviation reference', 'type': 'link', 'capture': 'manual', 'source': 'Manual', 'required': False}, {'key': 'NOTES', 'label': 'Notes', 'type': 'longtext', 'capture': 'manual', 'source': 'Manual', 'required': False}]}], 'signoff': [{'step': 'Perform', 'role': 'Operator', 'meaning': 'I performed / observed these entries'}, {'step': 'Review', 'role': 'Shift Supervisor', 'meaning': 'Reviewed for completeness; exceptions addressed'}, {'step': 'Approve', 'role': 'QA', 'meaning': 'QA approval - record locked'}], 'blockingRules': ['Crash endpoint &gt; -18 degC blocks close until deviation raised (Critical)', 'Visual fields cannot be auto-filled', 'Yellow isolate forces Quality Loss record QL2-07'], 'escalation': 'Critical deviation: Operator + Supervisor + QA at T+0; Production Manager @ 15 min unacknowledged'}, {'formNo': 'FOR-BIP-003', 'title': 'D8 Log', 'revision': 'Rev. 4', 'effective': '2026-02-05', 'assets': ['L2-RXN-1', 'L2-RXN-3'], 'level': 'batch', 'demo': False, 'purpose': 'Record Delta-8 conversion: recipe, pre-acid temperature, acid addition, exotherm, cook in band, three washes, output.', 'governingSop': ['SOP-BIP-005'], 'recordModel': 'One record per reaction batch (D8-YYMMDD-NN)', 'demoLayout': True, 'sections': [{'id': 'HEADER', 'title': 'Header', 'fields': [{'key': 'REACTION_ID', 'label': 'Reaction ID', 'type': 'id', 'capture': 'genealogy', 'source': 'ERP', 'required': True, 'help': 'Format D8-YYMMDD-NN'}, {'key': 'REACTOR', 'label': 'Reactor', 'type': 'select', 'capture': 'system', 'source': 'Calculated', 'required': True, 'options': ['RXN-1', 'RXN-3']}, {'key': 'INPUT_LOTS', 'label': 'Input isolate lot(s)', 'type': 'multiselect', 'capture': 'genealogy', 'source': 'ERP', 'required': True}, {'key': 'INPUT_KG', 'label': 'Input mass', 'type': 'number', 'capture': 'scale', 'source': 'Scale', 'required': True, 'unit': 'kg', 'decimals': 2}]}, {'id': 'RECIPE', 'title': 'Recipe (guided)', 'fields': [{'key': 'HEP_CALC_L', 'label': 'Heptane - calculated', 'type': 'number', 'capture': 'calc', 'source': 'Calculated', 'required': True, 'unit': 'L', 'decimals': 1, 'rule': 'Input kg x 4.0 L/kg (demo factor per SOP-BIP-005)'}, {'key': 'HEP_ACT_L', 'label': 'Heptane - actual', 'type': 'number', 'capture': 'manual', 'source': 'Manual', 'required': True, 'unit': 'L', 'decimals': 1}, {'key': 'ACID_CALC_KG', 'label': 'Acid - calculated', 'type': 'number', 'capture': 'calc', 'source': 'Calculated', 'required': True, 'unit': 'kg', 'decimals': 3, 'rule': 'Input kg x 0.05 (demo factor per SOP-BIP-005)'}, {'key': 'ACID_ACT_KG', 'label': 'Acid - actual', 'type': 'number', 'capture': 'manual', 'source': 'Manual', 'required': True, 'unit': 'kg', 'decimals': 3, 'rule': 'Within +/-2 % of calculated'}]}, {'id': 'MILESTONES', 'title': 'Reaction milestones', 'fields': [{'key': 'MATERIAL_IN', 'label': 'Material-in time', 'type': 'datetime', 'capture': 'milestone', 'source': 'Calculated', 'required': True}, {'key': 'PRE_ACID_T', 'label': 'Pre-acid temperature', 'type': 'number', 'capture': 'live', 'source': 'Controller', 'required': True, 'tag': 'T_INT', 'unit': 'degC', 'decimals': 1, 'min': 50, 'max': 55, 'limitRef': 'SOP-BIP-005'}, {'key': 'ACID_IN', 'label': 'Acid-in time (attest)', 'type': 'datetime', 'capture': 'manual', 'source': 'Manual', 'required': True}, {'key': 'ACID_ATTEST', 'label': 'Acid addition performed per SOP', 'type': 'attest', 'capture': 'manual', 'source': 'Manual', 'required': True}, {'key': 'EXO_PEAK_T', 'label': 'Exotherm peak temperature', 'type': 'number', 'capture': 'milestone', 'source': 'Calculated', 'required': True, 'unit': 'degC', 'decimals': 1, 'max': 78, 'rule': 'Max T_INT in EXOTHERM phase'}, {'key': 'EXO_PEAK_TIME', 'label': 'Exotherm peak time', 'type': 'datetime', 'capture': 'milestone', 'source': 'Calculated', 'required': True}, {'key': 'EXO_RISE', 'label': 'Exotherm rise', 'type': 'number', 'capture': 'calc', 'source': 'Calculated', 'required': True, 'unit': 'degC', 'decimals': 1, 'rule': 'Peak - pre-acid temperature'}, {'key': 'EXO_TTP', 'label': 'Time to peak', 'type': 'number', 'capture': 'calc', 'source': 'Calculated', 'required': True, 'unit': 'min', 'decimals': 0}, {'key': 'SET_TEMP', 'label': 'Cook set temperature', 'type': 'number', 'capture': 'live', 'source': 'Controller', 'required': True, 'unit': 'degC', 'decimals': 1, 'target': 90}, {'key': 'COOK_START', 'label': 'Cook start', 'type': 'datetime', 'capture': 'milestone', 'source': 'Calculated', 'required': True}, {'key': 'COOK_END', 'label': 'Cook end', 'type': 'datetime', 'capture': 'milestone', 'source': 'Calculated', 'required': True}, {'key': 'COOK_IN_BAND', 'label': 'Cook time in 85-95 degC band', 'type': 'number', 'capture': 'calc', 'source': 'Calculated', 'required': True, 'unit': '%', 'decimals': 1, 'min': 95, 'limitRef': 'SOP-BIP-005', 'rule': 'Minutes with 85 &lt;= T_INT &lt;= 95 / cook minutes x 100'}]}, {'id': 'WASH', 'title': 'Wash', 'repeat': {'min': 3, 'max': 3, 'label': 'Wash'}, 'fields': [{'key': 'WASH_NO', 'label': 'Wash no.', 'type': 'number', 'capture': 'system', 'source': 'Calculated', 'required': True, 'decimals': 0}, {'key': 'WASH_DONE', 'label': 'Wash performed', 'type': 'attest', 'capture': 'manual', 'source': 'Manual', 'required': True}, {'key': 'WASH_PH', 'label': 'Aqueous pH', 'type': 'number', 'capture': 'manual', 'source': 'Manual', 'required': True, 'unit': 'pH', 'decimals': 1, 'min': 6.5, 'max': 8, 'limitRows': [3], 'help': 'Limit applies to wash 3'}, {'key': 'WASH_TIME', 'label': 'Wash time', 'type': 'datetime', 'capture': 'manual', 'source': 'Manual', 'required': True}, {'key': 'INITIALS', 'label': 'Operator initials (e-sign)', 'type': 'esign', 'capture': 'manual', 'source': 'Manual', 'required': True}]}, {'id': 'CLOSE', 'title': 'Close', 'fields': [{'key': 'OUTPUT_KG', 'label': 'Output mass', 'type': 'number', 'capture': 'scale', 'source': 'Scale', 'required': True, 'unit': 'kg', 'decimals': 2}, {'key': 'YIELD_PCT', 'label': 'Yield', 'type': 'number', 'capture': 'calc', 'source': 'Calculated', 'required': True, 'unit': '%', 'decimals': 1}, {'key': 'NOTES', 'label': 'Notes', 'type': 'longtext', 'capture': 'manual', 'source': 'Manual', 'required': False}, {'key': 'INITIALS', 'label': 'Operator initials (e-sign)', 'type': 'esign', 'capture': 'manual', 'source': 'Manual', 'required': True}]}], 'signoff': [{'step': 'Perform', 'role': 'Operator', 'meaning': 'I performed / observed these entries'}, {'step': 'Review', 'role': 'Shift Supervisor', 'meaning': 'Reviewed for completeness; exceptions addressed'}, {'step': 'Approve', 'role': 'QA', 'meaning': 'QA approval - record locked'}], 'blockingRules': ['Pre-acid temperature outside 50-55 degC blocks acid-in attest (Major deviation)', 'Cook in-band &lt; 95 % requires comment', 'All 3 washes mandatory before close'], 'escalation': 'Major deviation: Operator, Supervisor @ 15 min, QA @ 1 h, Production Manager @ 4 h'}, {'formNo': 'FOR-KRT-101', 'title': 'Extraction Cycle Log', 'revision': 'Rev. A (demo)', 'effective': '2026-09-01', 'assets': ['L1-EXT-T01', 'L1-EXT-T02', 'L1-EXT-T03', 'L1-EXT-T04'], 'level': 'batch', 'demo': True, 'purpose': 'One extraction cycle on the outdoor pad: charge, PLC step times, liquor temp/pH, drain and totes filled.', 'governingSop': ['OBX kratom extraction work instruction (number TBC)'], 'recordModel': 'One record per extraction cycle (KX-Txx-YYMMDD-n)', 'demoLayout': True, 'sections': [{'id': 'HEADER', 'title': 'Header', 'fields': [{'key': 'CYCLE_ID', 'label': 'Extraction cycle ID', 'type': 'id', 'capture': 'genealogy', 'source': 'ERP', 'required': True}, {'key': 'TANK', 'label': 'Extraction tank', 'type': 'select', 'capture': 'system', 'source': 'Calculated', 'required': True, 'options': ['T01', 'T02', 'T03', 'T04']}, {'key': 'BIOMASS_LOT', 'label': 'Biomass lot', 'type': 'scan', 'capture': 'genealogy', 'source': 'ERP', 'required': True}, {'key': 'CHARGE_KG', 'label': 'Biomass charge', 'type': 'number', 'capture': 'scale', 'source': 'Scale', 'required': True, 'unit': 'kg', 'decimals': 1}]}, {'id': 'STEPS', 'title': 'PLC step times', 'fields': [{'key': 'FILL_START', 'label': 'Fill start', 'type': 'datetime', 'capture': 'milestone', 'source': 'PLC', 'required': True}, {'key': 'SOAK_START', 'label': 'Soak start', 'type': 'datetime', 'capture': 'milestone', 'source': 'PLC', 'required': True}, {'key': 'RECIRC_START', 'label': 'Recirculation start', 'type': 'datetime', 'capture': 'milestone', 'source': 'PLC', 'required': True}, {'key': 'DRAIN_START', 'label': 'Drain start', 'type': 'datetime', 'capture': 'milestone', 'source': 'PLC', 'required': True}, {'key': 'DRAIN_END', 'label': 'Drain end', 'type': 'datetime', 'capture': 'milestone', 'source': 'PLC', 'required': True}, {'key': 'CYCLE_H', 'label': 'Cycle time', 'type': 'number', 'capture': 'calc', 'source': 'Calculated', 'required': True, 'unit': 'h', 'decimals': 2, 'target': 8}]}, {'id': 'PROCESS', 'title': 'Liquor', 'fields': [{'key': 'LIQ_TEMP', 'label': 'Liquor temperature (recirc avg)', 'type': 'number', 'capture': 'live', 'source': 'PLC', 'required': True, 'tag': 'TEMP', 'unit': 'degC', 'decimals': 1, 'min': 55, 'max': 65}, {'key': 'LIQ_PH', 'label': 'Liquor pH (end of recirc)', 'type': 'number', 'capture': 'live', 'source': 'PLC', 'required': True, 'tag': 'PH', 'unit': 'pH', 'decimals': 2, 'min': 3, 'max': 4}, {'key': 'RECIRC_FLOW', 'label': 'Recirculation flow (avg)', 'type': 'number', 'capture': 'live', 'source': 'PLC', 'required': True, 'tag': 'RECIRC_FLOW', 'unit': 'L/min', 'decimals': 0, 'min': 150, 'max': 210}, {'key': 'DRAIN_L', 'label': 'Drain volume', 'type': 'number', 'capture': 'calc', 'source': 'PLC', 'required': True, 'unit': 'L', 'decimals': 0, 'rule': 'Level delta x tank volume'}, {'key': 'TOTE_IDS', 'label': 'Totes filled', 'type': 'scan', 'capture': 'manual', 'source': 'Manual', 'required': True}, {'key': 'DISC_MIN', 'label': 'Edge data gap back-filled', 'type': 'number', 'capture': 'system', 'source': 'Calculated', 'required': False, 'unit': 'min', 'decimals': 0, 'help': 'Outdoor-pad network loss; values back-filled from I/O Connect buffer'}]}, {'id': 'CLOSE', 'title': 'Close', 'fields': [{'key': 'WEATHER_HOLD', 'label': 'Weather hold during cycle', 'type': 'boolean', 'capture': 'manual', 'source': 'Manual', 'required': True}, {'key': 'WEATHER_REASON', 'label': 'Weather hold reason', 'type': 'select', 'capture': 'manual', 'source': 'Manual', 'required': False, 'options': ['Lightning', 'Freeze', 'High wind', 'Heavy rain']}, {'key': 'NOTES', 'label': 'Notes', 'type': 'longtext', 'capture': 'manual', 'source': 'Manual', 'required': False}, {'key': 'INITIALS', 'label': 'Operator initials (e-sign)', 'type': 'esign', 'capture': 'manual', 'source': 'Manual', 'required': True}]}], 'signoff': [{'step': 'Perform', 'role': 'Operator', 'meaning': 'I performed / observed these entries'}, {'step': 'Review', 'role': 'Shift Supervisor', 'meaning': 'Reviewed for completeness; exceptions addressed'}], 'blockingRules': ['Liquor pH outside 3.0-4.0 requires comment (QL1-03 rework)'], 'escalation': 'Edge DISC &gt; 10 min: OBX IT/OT + Faclon support, Supervisor @ 30 min'}, {'formNo': 'FOR-KRT-102', 'title': 'LLE / Solvent Log', 'revision': 'Rev. A (demo)', 'effective': '2026-09-01', 'assets': ['L1-LLE-01', 'L1-SRU-01'], 'level': 'entry', 'everyH': 4, 'demo': True, 'purpose': 'Liquid-liquid extraction and heptane recovery readings every 4 h - feeds the heptane-loss-per-kg-MIT KPI.', 'governingSop': ['OBX LLE / solvent recovery work instruction (number TBC)'], 'recordModel': 'One entry every 4 h while LLE is in CONTACT', 'demoLayout': True, 'sections': [{'id': 'LLE', 'title': 'LLE skid', 'fields': [{'key': 'CHECK_TIME', 'label': 'Check time', 'type': 'datetime', 'capture': 'system', 'source': 'Calculated', 'required': True}, {'key': 'LLE_BATCH', 'label': 'LLE campaign', 'type': 'id', 'capture': 'genealogy', 'source': 'ERP', 'required': True}, {'key': 'ORG_FLOW', 'label': 'Organic (heptane) flow', 'type': 'number', 'capture': 'live', 'source': 'Controller', 'required': True, 'tag': 'ORG_FLOW', 'unit': 'L/min', 'decimals': 1, 'min': 18, 'max': 26}, {'key': 'AQ_FLOW', 'label': 'Aqueous flow', 'type': 'number', 'capture': 'live', 'source': 'Controller', 'required': True, 'tag': 'AQ_FLOW', 'unit': 'L/min', 'decimals': 1, 'min': 34, 'max': 46}, {'key': 'OA_RATIO', 'label': 'O/A ratio', 'type': 'number', 'capture': 'calc', 'source': 'Calculated', 'required': True, 'decimals': 2, 'min': 0.45, 'max': 0.6, 'rule': 'Organic flow / aqueous flow'}, {'key': 'AQ_PH', 'label': 'Aqueous pH', 'type': 'number', 'capture': 'live', 'source': 'Controller', 'required': True, 'tag': 'AQ_PH', 'unit': 'pH', 'decimals': 2, 'min': 9.4, 'max': 10.2}, {'key': 'INTERFACE', 'label': 'Interface observation', 'type': 'select', 'capture': 'manual', 'source': 'Manual', 'required': True, 'options': ['Sharp', 'Rag layer &lt; 1 cm', 'Rag layer &gt; 1 cm']}, {'key': 'EMULSION', 'label': 'Emulsion present', 'type': 'boolean', 'capture': 'manual', 'source': 'Manual', 'required': True}, {'key': 'HEP_IN_L', 'label': 'Heptane to LLE (since last check)', 'type': 'number', 'capture': 'calc', 'source': 'Controller', 'required': True, 'unit': 'L', 'decimals': 0, 'rule': 'Totaliser delta'}]}, {'id': 'SRU', 'title': 'Solvent recovery', 'fields': [{'key': 'REB_TEMP', 'label': 'Reboiler temperature', 'type': 'number', 'capture': 'live', 'source': 'Controller', 'required': True, 'tag': 'REB_TEMP', 'unit': 'degC', 'decimals': 1, 'min': 97, 'max': 104, 'appliesTo': ['L1-SRU']}, {'key': 'COND_OUT', 'label': 'Condenser outlet temperature', 'type': 'number', 'capture': 'live', 'source': 'Controller', 'required': True, 'tag': 'COND_OUT', 'unit': 'degC', 'decimals': 1, 'max': 30, 'appliesTo': ['L1-SRU']}, {'key': 'HEP_REC_L', 'label': 'Heptane recovered (since last check)', 'type': 'number', 'capture': 'calc', 'source': 'Controller', 'required': True, 'unit': 'L', 'decimals': 0}, {'key': 'HEP_T01_PCT', 'label': 'Heptane tank HEP-T01 level', 'type': 'number', 'capture': 'manual', 'source': 'Manual', 'required': True, 'unit': '%', 'decimals': 0}, {'key': 'HEP_T02_PCT', 'label': 'Heptane tank HEP-T02 level', 'type': 'number', 'capture': 'manual', 'source': 'Manual', 'required': True, 'unit': '%', 'decimals': 0}, {'key': 'REC_PURITY', 'label': 'Recovered heptane purity', 'type': 'number', 'capture': 'manual', 'source': 'Manual', 'required': True, 'unit': '%', 'decimals': 1, 'min': 98}, {'key': 'INITIALS', 'label': 'Operator initials (e-sign)', 'type': 'esign', 'capture': 'manual', 'source': 'Manual', 'required': True}]}], 'signoff': [{'step': 'Perform', 'role': 'Operator', 'meaning': 'I performed / observed these entries'}, {'step': 'Review', 'role': 'Shift Supervisor', 'meaning': 'Reviewed for completeness; exceptions addressed'}], 'blockingRules': ['Emulsion = Yes requires Quality Loss QL1-04 or comment', 'Condenser outlet &gt; 30 degC raises Minor deviation (solvent slip)'], 'escalation': 'Heptane loss &gt; target for lot: Production Manager on lot close; Plant Head weekly digest'}, {'formNo': 'FOR-KRT-103', 'title': 'Crystallization Batch Log', 'revision': 'Rev. A (demo)', 'effective': '2026-09-01', 'assets': ['L1-CRY-01', 'L1-CRY-02', 'L1-FIL-01'], 'level': 'batch', 'demo': True, 'purpose': 'MIT freebase crystallization (pH dose, cool, hold) and Nutsche filtration / drying.', 'governingSop': ['OBX crystallization work instruction (number TBC)'], 'recordModel': 'Crystallization section per MCB batch; Filter/dry section per MFD batch (linked by genealogy)', 'demoLayout': True, 'sections': [{'id': 'CRYST', 'title': 'Crystallization', 'appliesTo': ['L1-CRY'], 'fields': [{'key': 'BATCH_ID', 'label': 'Crystallization batch', 'type': 'id', 'capture': 'genealogy', 'source': 'ERP', 'required': True, 'help': 'Format MCB-26-nnnn'}, {'key': 'CRYSTALLIZER', 'label': 'Crystallizer', 'type': 'select', 'capture': 'system', 'source': 'Calculated', 'required': True, 'options': ['CRY-01', 'CRY-02']}, {'key': 'SOURCE', 'label': 'Source LLE campaign(s) / totes', 'type': 'multiselect', 'capture': 'genealogy', 'source': 'ERP', 'required': True}, {'key': 'CHARGE_KG', 'label': 'Organic phase charged (MIT equiv.)', 'type': 'number', 'capture': 'calc', 'source': 'Calculated', 'required': True, 'unit': 'kg', 'decimals': 1}, {'key': 'DOSE_START', 'label': 'Base dose start', 'type': 'datetime', 'capture': 'milestone', 'source': 'Controller', 'required': True}, {'key': 'PH_REACHED', 'label': 'pH 9.3 reached', 'type': 'datetime', 'capture': 'milestone', 'source': 'Controller', 'required': True, 'tag': 'PH', 'rule': 'PH &gt;= 9.3 for 5 consecutive minutes'}, {'key': 'BASE_RECIPE_L', 'label': 'Base - recipe volume', 'type': 'number', 'capture': 'calc', 'source': 'Calculated', 'required': True, 'unit': 'L', 'decimals': 1}, {'key': 'BASE_DOSED_L', 'label': 'Base - dosed total', 'type': 'number', 'capture': 'calc', 'source': 'Controller', 'required': True, 'unit': 'L', 'decimals': 1, 'rule': 'Integral of DOSE_RATE'}, {'key': 'FINAL_PH', 'label': 'Final pH', 'type': 'number', 'capture': 'live', 'source': 'Controller', 'required': True, 'tag': 'PH', 'unit': 'pH', 'decimals': 2, 'min': 9.3, 'max': 9.9}, {'key': 'T_HOLD', 'label': 'Temperature at hold', 'type': 'number', 'capture': 'live', 'source': 'Controller', 'required': True, 'tag': 'T_INT', 'unit': 'degC', 'decimals': 1, 'min': 2, 'max': 8}, {'key': 'HOLD_START', 'label': 'Hold start', 'type': 'datetime', 'capture': 'milestone', 'source': 'Calculated', 'required': True}, {'key': 'HOLD_END', 'label': 'Hold end', 'type': 'datetime', 'capture': 'milestone', 'source': 'Calculated', 'required': True}, {'key': 'HOLD_H', 'label': 'Hold duration', 'type': 'number', 'capture': 'calc', 'source': 'Calculated', 'required': True, 'unit': 'h', 'decimals': 2, 'min': 3.5, 'max': 6}, {'key': 'CRYSTAL_APPEAR', 'label': 'Crystal appearance', 'type': 'select', 'capture': 'manual', 'source': 'Manual', 'required': True, 'options': ['Pale, granular', 'Fine / slow settling', 'Dark / off-colour']}, {'key': 'YIELD_PCT', 'label': 'Crystallization yield', 'type': 'number', 'capture': 'calc', 'source': 'Calculated', 'required': True, 'unit': '%', 'decimals': 1}, {'key': 'INITIALS', 'label': 'Operator initials (e-sign)', 'type': 'esign', 'capture': 'manual', 'source': 'Manual', 'required': True}]}, {'id': 'FILTER', 'title': 'Filtration &amp; drying (Nutsche)', 'appliesTo': ['L1-FIL'], 'fields': [{'key': 'FD_BATCH', 'label': 'Filter-dryer batch', 'type': 'id', 'capture': 'genealogy', 'source': 'ERP', 'required': True, 'help': 'Format MFD-26-nnnn'}, {'key': 'SOURCE', 'label': 'Source crystallization batch(es)', 'type': 'multiselect', 'capture': 'genealogy', 'source': 'ERP', 'required': True}, {'key': 'FILT_START', 'label': 'Filtration start', 'type': 'datetime', 'capture': 'milestone', 'source': 'Calculated', 'required': True}, {'key': 'FILT_END', 'label': 'Filtration end', 'type': 'datetime', 'capture': 'milestone', 'source': 'Calculated', 'required': True}, {'key': 'FILT_MIN', 'label': 'Filtration duration', 'type': 'number', 'capture': 'calc', 'source': 'Calculated', 'required': True, 'unit': 'min', 'decimals': 0, 'max': 150}, {'key': 'DP_MAX', 'label': 'Max filter differential pressure', 'type': 'number', 'capture': 'live', 'source': 'Controller', 'required': True, 'unit': 'bar', 'decimals': 2, 'max': 1.5}, {'key': 'WASH_L', 'label': 'Heptane cake wash', 'type': 'number', 'capture': 'manual', 'source': 'Manual', 'required': True, 'unit': 'L', 'decimals': 1}, {'key': 'DRY_TEMP', 'label': 'Drying temperature (avg)', 'type': 'number', 'capture': 'live', 'source': 'Controller', 'required': True, 'unit': 'degC', 'decimals': 1, 'min': 40, 'max': 50}, {'key': 'DRY_H', 'label': 'Drying time', 'type': 'number', 'capture': 'calc', 'source': 'Calculated', 'required': True, 'unit': 'h', 'decimals': 1}, {'key': 'LOD', 'label': 'Loss on drying', 'type': 'number', 'capture': 'lims', 'source': 'LIMS/COA', 'required': True, 'unit': '%', 'decimals': 2, 'max': 0.5}, {'key': 'DRY_KG', 'label': 'Dry freebase out', 'type': 'number', 'capture': 'scale', 'source': 'Scale', 'required': True, 'unit': 'kg', 'decimals': 2}, {'key': 'INITIALS', 'label': 'Operator initials (e-sign)', 'type': 'esign', 'capture': 'manual', 'source': 'Manual', 'required': True}]}], 'signoff': [{'step': 'Perform', 'role': 'Operator', 'meaning': 'I performed / observed these entries'}, {'step': 'Review', 'role': 'Shift Supervisor', 'meaning': 'Reviewed for completeness; exceptions addressed'}, {'step': 'Approve', 'role': 'QA', 'meaning': 'QA approval - record locked'}], 'blockingRules': ['Final pH outside 9.3-9.9 requires deviation (links pH-probe calibration LOG-CAL)', 'LOD &gt; 0.5 % blocks drumming (QL1-08 rework)'], 'escalation': 'Major deviation path; batch record review pending: Supervisor @ close+4 h, QA @ +24 h'}, {'formNo': 'FOR-KRT-104', 'title': 'Drum &amp; Weigh Log', 'revision': 'Rev. A (demo)', 'effective': '2026-09-01', 'assets': ['L1-FIL-01'], 'level': 'event', 'demo': True, 'purpose': 'Each MIT freebase drum: scan, gross / tare / net from connected scale, label and seal check.', 'governingSop': ['OBX drumming &amp; labelling work instruction (number TBC)'], 'recordModel': 'One entry per drum (FBD-26-nnnn)', 'demoLayout': True, 'sections': [{'id': 'DRUM', 'title': 'Drum', 'fields': [{'key': 'DRUM_ID', 'label': 'Drum ID', 'type': 'scan', 'capture': 'manual', 'source': 'Manual', 'required': True, 'help': 'Format FBD-26-nnnn'}, {'key': 'SOURCE_BATCH', 'label': 'Source filter-dryer batch', 'type': 'id', 'capture': 'genealogy', 'source': 'ERP', 'required': True}, {'key': 'GROSS_KG', 'label': 'Gross weight', 'type': 'number', 'capture': 'scale', 'source': 'Scale', 'required': True, 'unit': 'kg', 'decimals': 2}, {'key': 'TARE_KG', 'label': 'Tare weight', 'type': 'number', 'capture': 'scale', 'source': 'Scale', 'required': True, 'unit': 'kg', 'decimals': 2}, {'key': 'NET_KG', 'label': 'Net weight', 'type': 'number', 'capture': 'calc', 'source': 'Calculated', 'required': True, 'unit': 'kg', 'decimals': 2, 'rule': 'Gross - tare; must match label within +/-0.05 kg'}, {'key': 'SEAL_NO', 'label': 'Seal number', 'type': 'text', 'capture': 'manual', 'source': 'Manual', 'required': True}, {'key': 'LABEL_CHECK', 'label': 'Label matches drum, batch and net weight', 'type': 'attest', 'capture': 'manual', 'source': 'Manual', 'required': True}, {'key': 'PHOTO', 'label': 'Label photo', 'type': 'photo', 'capture': 'manual', 'source': 'Manual', 'required': False}, {'key': 'INITIALS', 'label': 'Operator initials (e-sign)', 'type': 'esign', 'capture': 'manual', 'source': 'Manual', 'required': True}]}], 'signoff': [{'step': 'Perform', 'role': 'Operator', 'meaning': 'Weighed and labelled'}, {'step': 'Verify', 'role': 'Shift Supervisor', 'meaning': 'Second-person verification of label'}], 'blockingRules': ['Drum not linked to a released MFD batch cannot be saved (QL1-11 genealogy mismatch)'], 'escalation': 'Genealogy mismatch: QA + Plant Head at T+0'}, {'formNo': 'FOR-KRT-105', 'title': 'Salt Run Log', 'revision': 'Rev. A (demo)', 'effective': '2026-09-01', 'assets': ['L1-SLT-01', 'L1-SDR-01'], 'level': 'batch', 'demo': True, 'purpose': 'MIT acetate salt formation and vacuum drying.', 'governingSop': ['OBX salt formation work instruction (number TBC)'], 'recordModel': 'Salt section per MAS run; Dry section per MSD run', 'demoLayout': True, 'sections': [{'id': 'SALT', 'title': 'Salt formation', 'appliesTo': ['L1-SLT'], 'fields': [{'key': 'RUN_ID', 'label': 'Salt run ID', 'type': 'id', 'capture': 'genealogy', 'source': 'ERP', 'required': True, 'help': 'Format MAS-26-nnnn'}, {'key': 'DRUMS', 'label': 'Freebase drums consumed', 'type': 'multiselect', 'capture': 'manual', 'source': 'Manual', 'required': True, 'help': 'Scan each drum'}, {'key': 'FB_KG', 'label': 'Freebase charged', 'type': 'number', 'capture': 'scale', 'source': 'Scale', 'required': True, 'unit': 'kg', 'decimals': 2}, {'key': 'ACID_CALC_KG', 'label': 'Acetic acid - calculated', 'type': 'number', 'capture': 'calc', 'source': 'Calculated', 'required': True, 'unit': 'kg', 'decimals': 2, 'rule': 'Freebase kg x 0.151 (stoichiometric, demo)'}, {'key': 'ACID_ACT_KG', 'label': 'Acetic acid - actual', 'type': 'number', 'capture': 'manual', 'source': 'Manual', 'required': True, 'unit': 'kg', 'decimals': 2, 'rule': 'Within +/-2 %'}, {'key': 'T_REACT', 'label': 'Reaction temperature (avg)', 'type': 'number', 'capture': 'live', 'source': 'Controller', 'required': True, 'tag': 'T_INT', 'unit': 'degC', 'decimals': 1, 'min': 40, 'max': 50}, {'key': 'PH_END', 'label': 'Final pH', 'type': 'number', 'capture': 'manual', 'source': 'Manual', 'required': True, 'unit': 'pH', 'decimals': 2, 'min': 4.6, 'max': 5.4}, {'key': 'WET_KG', 'label': 'Salt output (wet)', 'type': 'number', 'capture': 'scale', 'source': 'Scale', 'required': True, 'unit': 'kg', 'decimals': 2}, {'key': 'INITIALS', 'label': 'Operator initials (e-sign)', 'type': 'esign', 'capture': 'manual', 'source': 'Manual', 'required': True}]}, {'id': 'DRY', 'title': 'Vacuum drying', 'appliesTo': ['L1-SDR'], 'fields': [{'key': 'DRY_ID', 'label': 'Dryer run ID', 'type': 'id', 'capture': 'genealogy', 'source': 'ERP', 'required': True, 'help': 'Format MSD-26-nnnn'}, {'key': 'DRY_TEMP', 'label': 'Dryer temperature (avg)', 'type': 'number', 'capture': 'live', 'source': 'Controller', 'required': True, 'unit': 'degC', 'decimals': 1, 'min': 45, 'max': 55}, {'key': 'DRY_VAC', 'label': 'Dryer vacuum (avg)', 'type': 'number', 'capture': 'live', 'source': 'Controller', 'required': True, 'unit': 'mbar', 'decimals': 0, 'max': 60}, {'key': 'DRY_H', 'label': 'Drying time', 'type': 'number', 'capture': 'calc', 'source': 'Calculated', 'required': True, 'unit': 'h', 'decimals': 1}, {'key': 'LOD', 'label': 'Loss on drying', 'type': 'number', 'capture': 'lims', 'source': 'LIMS/COA', 'required': True, 'unit': '%', 'decimals': 2, 'max': 0.5}, {'key': 'ASSAY', 'label': 'MIT acetate assay', 'type': 'number', 'capture': 'lims', 'source': 'LIMS/COA', 'required': True, 'unit': '%', 'decimals': 1, 'min': 98}, {'key': 'DRY_KG', 'label': 'Dry salt out', 'type': 'number', 'capture': 'scale', 'source': 'Scale', 'required': True, 'unit': 'kg', 'decimals': 2}, {'key': 'INITIALS', 'label': 'Operator initials (e-sign)', 'type': 'esign', 'capture': 'manual', 'source': 'Manual', 'required': True}]}], 'signoff': [{'step': 'Perform', 'role': 'Operator', 'meaning': 'I performed / observed these entries'}, {'step': 'Review', 'role': 'Shift Supervisor', 'meaning': 'Reviewed for completeness; exceptions addressed'}, {'step': 'Approve', 'role': 'QA', 'meaning': 'QA approval - record locked'}], 'blockingRules': ['Assay &lt; 98.0 % forces Quality Loss QL1-12', 'Final pH out of range requires comment'], 'escalation': 'Batch record review pending: Supervisor @ close+4 h, QA @ +24 h, PM @ +72 h'}, {'formNo': 'LOG-SHIFT', 'title': 'Shift Handover', 'revision': 'Rev. A (demo)', 'effective': '2026-09-01', 'assets': [], 'level': 'shift', 'demo': True, 'purpose': 'Per-line shift handover: auto summary from I/O Sense plus supervisor notes; signed by outgoing and incoming supervisor.', 'governingSop': ['Demo format'], 'recordModel': 'One record per line per shift', 'demoLayout': False, 'sections': [{'id': 'AUTO', 'title': 'Auto summary (read-only)', 'fields': [{'key': 'LINE', 'label': 'Line', 'type': 'select', 'capture': 'system', 'source': 'Calculated', 'required': True, 'options': ['L1', 'L2']}, {'key': 'SHIFT', 'label': 'Shift', 'type': 'select', 'capture': 'system', 'source': 'Calculated', 'required': True, 'options': ['A', 'B']}, {'key': 'RUN_H', 'label': 'Constraint run time', 'type': 'number', 'capture': 'calc', 'source': 'Calculated', 'required': True, 'unit': 'h', 'decimals': 1}, {'key': 'UNPLANNED_H', 'label': 'Unplanned downtime (all assets)', 'type': 'number', 'capture': 'calc', 'source': 'Calculated', 'required': True, 'unit': 'h', 'decimals': 1}, {'key': 'TOP_DT', 'label': 'Top 3 downtime reasons', 'type': 'longtext', 'capture': 'calc', 'source': 'Calculated', 'required': True}, {'key': 'UNTAGGED', 'label': 'Untagged stops', 'type': 'number', 'capture': 'calc', 'source': 'Calculated', 'required': True, 'decimals': 0, 'max': 0}, {'key': 'QL_KG', 'label': 'Quality loss', 'type': 'number', 'capture': 'calc', 'source': 'Calculated', 'required': True, 'unit': 'kg', 'decimals': 1}, {'key': 'OPEN_DEV', 'label': 'Open deviations', 'type': 'number', 'capture': 'calc', 'source': 'Calculated', 'required': True, 'decimals': 0}, {'key': 'BATCHES_WIP', 'label': 'Batches in progress', 'type': 'longtext', 'capture': 'calc', 'source': 'Calculated', 'required': True}]}, {'id': 'NOTES', 'title': 'Supervisor notes', 'fields': [{'key': 'SAFETY', 'label': 'Safety observations', 'type': 'longtext', 'capture': 'manual', 'source': 'Manual', 'required': True, 'editableBy': ['Shift Supervisor']}, {'key': 'NOTES', 'label': 'Handover notes', 'type': 'longtext', 'capture': 'manual', 'source': 'Manual', 'required': True, 'editableBy': ['Shift Supervisor']}, {'key': 'ACTIONS', 'label': 'Pending actions', 'type': 'longtext', 'capture': 'manual', 'source': 'Manual', 'required': False, 'editableBy': ['Shift Supervisor']}, {'key': 'OUT_SIGN', 'label': 'Outgoing supervisor (e-sign)', 'type': 'esign', 'capture': 'manual', 'source': 'Manual', 'required': True, 'editableBy': ['Shift Supervisor']}, {'key': 'IN_SIGN', 'label': 'Incoming supervisor (e-sign)', 'type': 'esign', 'capture': 'manual', 'source': 'Manual', 'required': True, 'editableBy': ['Shift Supervisor']}]}], 'signoff': [{'step': 'Perform', 'role': 'Shift Supervisor', 'meaning': 'Outgoing handover'}, {'step': 'Review', 'role': 'Shift Supervisor', 'meaning': 'Incoming acceptance'}], 'blockingRules': ['Cannot sign while untagged stops &gt; 0 on the shift unless each is acknowledged'], 'escalation': 'Untagged downtime at shift end: Supervisor @ shift end + 30 min'}, {'formNo': 'LOG-EQ-DAILY', 'title': 'Daily Equipment Checklist', 'revision': 'Rev. A (demo)', 'effective': '2026-09-01', 'assets': [], 'level': 'day', 'demo': True, 'purpose': 'Daily per-asset condition checks. Items shown depend on asset type; photo required on fail.', 'governingSop': ['Demo format'], 'recordModel': 'One record per asset per shift', 'demoLayout': False, 'sections': [{'id': 'CHECKS', 'title': 'Checks', 'fields': [{'key': 'VP_OIL', 'label': 'Vacuum pump oil level / colour', 'type': 'passfail', 'capture': 'manual', 'source': 'Manual', 'required': True, 'appliesTo': ['L2-WFE', 'L2-VO', 'L1-SDR', 'L1-FIL']}, {'key': 'CHL_GLYCOL', 'label': 'Chiller glycol level', 'type': 'passfail', 'capture': 'manual', 'source': 'Manual', 'required': True, 'appliesTo': ['L2-WFE', 'L2-ISO', 'L1-CRY']}, {'key': 'COLD_TRAP', 'label': 'Cold trap condition', 'type': 'passfail', 'capture': 'manual', 'source': 'Manual', 'required': True, 'appliesTo': ['L2-WFE']}, {'key': 'WIPER_NOISE', 'label': 'Wiper / rotor noise &amp; vibration', 'type': 'passfail', 'capture': 'manual', 'source': 'Manual', 'required': True, 'appliesTo': ['L2-WFE']}, {'key': 'PH_BUFFER', 'label': 'pH probe buffer verification (pH 7 / 10)', 'type': 'passfail', 'capture': 'manual', 'source': 'Manual', 'required': True, 'appliesTo': ['L1-CRY', 'L1-LLE', 'L1-EXT']}, {'key': 'SCALE_VERIF', 'label': 'Scale verification weight', 'type': 'passfail', 'capture': 'manual', 'source': 'Manual', 'required': True, 'appliesTo': ['L1-FIL', 'L2-BUF']}, {'key': 'AGIT', 'label': 'Agitator noise / seal', 'type': 'passfail', 'capture': 'manual', 'source': 'Manual', 'required': True, 'appliesTo': ['L2-ISO', 'L2-RXN', 'L1-CRY', 'L1-SLT']}, {'key': 'LEAKS', 'label': 'Leaks (solvent / utility)', 'type': 'passfail', 'capture': 'manual', 'source': 'Manual', 'required': True}, {'key': 'HOUSEKEEPING', 'label': 'Housekeeping', 'type': 'passfail', 'capture': 'manual', 'source': 'Manual', 'required': True}, {'key': 'PHOTO', 'label': 'Photo of failed item', 'type': 'photo', 'capture': 'manual', 'source': 'Manual', 'required': False, 'help': 'Required when any item = Fail'}, {'key': 'REMARKS', 'label': 'Remarks', 'type': 'longtext', 'capture': 'manual', 'source': 'Manual', 'required': False}, {'key': 'INITIALS', 'label': 'Operator initials (e-sign)', 'type': 'esign', 'capture': 'manual', 'source': 'Manual', 'required': True}]}], 'signoff': [{'step': 'Perform', 'role': 'Operator', 'meaning': 'Checks performed'}, {'step': 'Review', 'role': 'Shift Supervisor', 'meaning': 'Reviewed'}], 'blockingRules': ['Any Fail requires photo + remark and creates a maintenance request'], 'escalation': 'Daily checklist not done: Operator @ shift end, Supervisor @ +1 h, Production Manager @ +24 h'}, {'formNo': 'LOG-CAL', 'title': 'Calibration Log', 'revision': 'Rev. A (demo)', 'effective': '2026-09-01', 'assets': [], 'level': 'event', 'demo': True, 'purpose': 'Instrument calibration / verification events (pH probes, RTDs, vacuum gauges, scales).', 'governingSop': ['Demo format'], 'recordModel': 'One record per calibration event', 'demoLayout': False, 'sections': [{'id': 'CAL', 'title': 'Calibration', 'fields': [{'key': 'INSTRUMENT', 'label': 'Instrument / tag', 'type': 'text', 'capture': 'manual', 'source': 'Manual', 'required': True}, {'key': 'ASSET', 'label': 'Asset', 'type': 'text', 'capture': 'manual', 'source': 'Manual', 'required': True}, {'key': 'STANDARD', 'label': 'Reference standard ID', 'type': 'text', 'capture': 'manual', 'source': 'Manual', 'required': True}, {'key': 'AS_FOUND', 'label': 'As-found reading', 'type': 'number', 'capture': 'manual', 'source': 'Manual', 'required': True, 'decimals': 3}, {'key': 'AS_LEFT', 'label': 'As-left reading', 'type': 'number', 'capture': 'manual', 'source': 'Manual', 'required': True, 'decimals': 3}, {'key': 'REFERENCE', 'label': 'Reference value', 'type': 'number', 'capture': 'manual', 'source': 'Manual', 'required': True, 'decimals': 3}, {'key': 'TOLERANCE', 'label': 'Tolerance (+/-)', 'type': 'number', 'capture': 'manual', 'source': 'Manual', 'required': True, 'decimals': 3}, {'key': 'RESULT', 'label': 'Result', 'type': 'passfail', 'capture': 'calc', 'source': 'Calculated', 'required': True, 'rule': '|as-found - reference| &lt;= tolerance'}, {'key': 'NEXT_DUE', 'label': 'Next due', 'type': 'datetime', 'capture': 'calc', 'source': 'Calculated', 'required': True}, {'key': 'TECH', 'label': 'Technician (e-sign)', 'type': 'esign', 'capture': 'manual', 'source': 'Manual', 'required': True}]}], 'signoff': [{'step': 'Perform', 'role': 'Operator', 'meaning': 'Calibrated'}, {'step': 'Approve', 'role': 'QA', 'meaning': 'Calibration accepted'}], 'blockingRules': ['As-found fail triggers impact assessment on batches since last pass (links deviations)'], 'escalation': 'As-found fail: QA at T+0'}, {'formNo': 'LOG-SOLV', 'title': 'Solvent Inventory (L1 heptane)', 'revision': 'Rev. A (demo)', 'effective': '2026-09-01', 'assets': ['L1-SRU-01'], 'level': 'day', 'demo': True, 'purpose': 'Daily heptane reconciliation: opening/closing tank levels, receipts, transfers, recovered, calculated loss per kg MIT.', 'governingSop': ['Demo format'], 'recordModel': 'One record per production day', 'demoLayout': False, 'sections': [{'id': 'BAL', 'title': 'Heptane balance', 'fields': [{'key': 'DAY', 'label': 'Production day', 'type': 'datetime', 'capture': 'system', 'source': 'Calculated', 'required': True}, {'key': 'OPEN_L', 'label': 'Opening inventory (HEP-T01 + T02)', 'type': 'number', 'capture': 'manual', 'source': 'Manual', 'required': True, 'unit': 'L', 'decimals': 0}, {'key': 'RECEIPT_L', 'label': 'Fresh receipts', 'type': 'number', 'capture': 'erp', 'source': 'ERP', 'required': True, 'unit': 'L', 'decimals': 0}, {'key': 'RECOVERED_L', 'label': 'Recovered (SRU totaliser)', 'type': 'number', 'capture': 'calc', 'source': 'Controller', 'required': True, 'unit': 'L', 'decimals': 0}, {'key': 'TO_LLE_L', 'label': 'Issued to LLE', 'type': 'number', 'capture': 'calc', 'source': 'Controller', 'required': True, 'unit': 'L', 'decimals': 0}, {'key': 'TO_WASH_L', 'label': 'Issued to crystallization / cake wash', 'type': 'number', 'capture': 'manual', 'source': 'Manual', 'required': True, 'unit': 'L', 'decimals': 0}, {'key': 'CLOSE_L', 'label': 'Closing inventory', 'type': 'number', 'capture': 'manual', 'source': 'Manual', 'required': True, 'unit': 'L', 'decimals': 0}, {'key': 'LOSS_L', 'label': 'Calculated loss', 'type': 'number', 'capture': 'calc', 'source': 'Calculated', 'required': True, 'unit': 'L', 'decimals': 0, 'rule': 'Issued to LLE + wash - recovered (tank gap reported separately)'}, {'key': 'MIT_KG', 'label': 'MIT freebase produced', 'type': 'number', 'capture': 'calc', 'source': 'Calculated', 'required': True, 'unit': 'kg', 'decimals': 1}, {'key': 'LOSS_PER_KG', 'label': 'Heptane loss per kg MIT', 'type': 'number', 'capture': 'calc', 'source': 'Calculated', 'required': True, 'unit': 'L/kg', 'decimals': 2, 'max': 4}, {'key': 'INITIALS', 'label': 'Operator initials (e-sign)', 'type': 'esign', 'capture': 'manual', 'source': 'Manual', 'required': True}]}], 'signoff': [{'step': 'Perform', 'role': 'Operator', 'meaning': 'Levels read'}, {'step': 'Review', 'role': 'Production Manager', 'meaning': 'Reconciliation reviewed'}], 'blockingRules': ['Loss per kg above target requires comment'], 'escalation': 'Heptane loss &gt; target: Production Manager on lot close'}, {'formNo': 'LOG-CLEAN', 'title': 'Cleaning / Changeover', 'revision': 'Rev. A (demo)', 'effective': '2026-09-01', 'assets': [], 'level': 'event', 'demo': True, 'purpose': 'Equipment cleaning and product changeover with release to next batch.', 'governingSop': ['Demo format'], 'recordModel': 'One record per CLEAN phase / changeover', 'demoLayout': False, 'sections': [{'id': 'CLEAN', 'title': 'Cleaning', 'fields': [{'key': 'ASSET', 'label': 'Asset', 'type': 'text', 'capture': 'system', 'source': 'Calculated', 'required': True}, {'key': 'PREV_BATCH', 'label': 'Previous batch', 'type': 'id', 'capture': 'genealogy', 'source': 'ERP', 'required': True}, {'key': 'PREV_PRODUCT', 'label': 'Previous product', 'type': 'text', 'capture': 'genealogy', 'source': 'ERP', 'required': True}, {'key': 'METHOD', 'label': 'Cleaning method', 'type': 'select', 'capture': 'manual', 'source': 'Manual', 'required': True, 'options': ['Heptane flush', 'Ethanol rinse', 'Hot water + detergent', 'Dry wipe-down']}, {'key': 'START', 'label': 'Start', 'type': 'datetime', 'capture': 'milestone', 'source': 'Calculated', 'required': True}, {'key': 'END', 'label': 'End', 'type': 'datetime', 'capture': 'milestone', 'source': 'Calculated', 'required': True}, {'key': 'VISUAL_CLEAN', 'label': 'Visually clean', 'type': 'attest', 'capture': 'manual', 'source': 'Manual', 'required': True}, {'key': 'INITIALS', 'label': 'Operator initials (e-sign)', 'type': 'esign', 'capture': 'manual', 'source': 'Manual', 'required': True}, {'key': 'RELEASED_BY', 'label': 'Released for next batch (e-sign)', 'type': 'esign', 'capture': 'manual', 'source': 'Manual', 'required': True, 'editableBy': ['Shift Supervisor']}]}], 'signoff': [{'step': 'Perform', 'role': 'Operator', 'meaning': 'Cleaned'}, {'step': 'Verify', 'role': 'Shift Supervisor', 'meaning': 'Released'}], 'blockingRules': ['Next batch cannot start on the asset until RELEASED_BY is signed'], 'escalation': 'None (informational)'}]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32335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3233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323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10FormRules" displayName="10FormRules" ref="A3:F17" headerRowCount="1" totalsRowCount="0" totalsRowShown="0">
  <autoFilter ref="A3:F17"/>
  <tableColumns count="6">
    <tableColumn id="1" name="Form No"/>
    <tableColumn id="2" name="Sign-off chain"/>
    <tableColumn id="3" name="Blocking rules"/>
    <tableColumn id="4" name="Escalation"/>
    <tableColumn id="5" name="Record model"/>
    <tableColumn id="6" name="Governing SOP"/>
  </tableColumns>
</table>
</file>

<file path=xl/tables/table2.xml><?xml version="1.0" encoding="utf-8"?>
<table xmlns="http://schemas.openxmlformats.org/spreadsheetml/2006/main" id="2" name="11SampleFilledForms" displayName="11SampleFilledForms" ref="A4:O238" headerRowCount="1" totalsRowCount="0" totalsRowShown="0">
  <autoFilter ref="A4:O238"/>
  <tableColumns count="15">
    <tableColumn id="1" name="Form No"/>
    <tableColumn id="2" name="Entry ID"/>
    <tableColumn id="3" name="Asset"/>
    <tableColumn id="4" name="Batch"/>
    <tableColumn id="5" name="Shift"/>
    <tableColumn id="6" name="Status"/>
    <tableColumn id="7" name="Operator"/>
    <tableColumn id="8" name="Section"/>
    <tableColumn id="9" name="Row"/>
    <tableColumn id="10" name="Field key"/>
    <tableColumn id="11" name="Field label"/>
    <tableColumn id="12" name="Value"/>
    <tableColumn id="13" name="Unit"/>
    <tableColumn id="14" name="Source"/>
    <tableColumn id="15" name="Limit check"/>
  </tableColumns>
</table>
</file>

<file path=xl/tables/table3.xml><?xml version="1.0" encoding="utf-8"?>
<table xmlns="http://schemas.openxmlformats.org/spreadsheetml/2006/main" id="3" name="1Hierarchy" displayName="1Hierarchy" ref="A4:E8" headerRowCount="1" totalsRowCount="0" totalsRowShown="0">
  <autoFilter ref="A4:E8"/>
  <tableColumns count="5">
    <tableColumn id="1" name="Site"/>
    <tableColumn id="2" name="Area"/>
    <tableColumn id="3" name="Line"/>
    <tableColumn id="4" name="Contains"/>
    <tableColumn id="5" name="Naming source"/>
  </tableColumns>
</table>
</file>

<file path=xl/tables/table4.xml><?xml version="1.0" encoding="utf-8"?>
<table xmlns="http://schemas.openxmlformats.org/spreadsheetml/2006/main" id="4" name="2ShiftsPeople" displayName="2ShiftsPeople" ref="A4:D15" headerRowCount="1" totalsRowCount="0" totalsRowShown="0">
  <autoFilter ref="A4:D15"/>
  <tableColumns count="4">
    <tableColumn id="1" name="Shift"/>
    <tableColumn id="2" name="Hours"/>
    <tableColumn id="3" name="Role"/>
    <tableColumn id="4" name="Name (fictional)"/>
  </tableColumns>
</table>
</file>

<file path=xl/tables/table5.xml><?xml version="1.0" encoding="utf-8"?>
<table xmlns="http://schemas.openxmlformats.org/spreadsheetml/2006/main" id="5" name="3Assets" displayName="3Assets" ref="A4:P27" headerRowCount="1" totalsRowCount="0" totalsRowShown="0">
  <autoFilter ref="A4:P27"/>
  <tableColumns count="16">
    <tableColumn id="1" name="Asset ID"/>
    <tableColumn id="2" name="Name"/>
    <tableColumn id="3" name="Line"/>
    <tableColumn id="4" name="Area"/>
    <tableColumn id="5" name="Stage"/>
    <tableColumn id="6" name="Kind"/>
    <tableColumn id="7" name="Constraint"/>
    <tableColumn id="8" name="Product"/>
    <tableColumn id="9" name="Phases (ISA-88)"/>
    <tableColumn id="10" name="Batch size kg / Rate"/>
    <tableColumn id="11" name="Ideal cycle h"/>
    <tableColumn id="12" name="Record / Form"/>
    <tableColumn id="13" name="Target A"/>
    <tableColumn id="14" name="Target P"/>
    <tableColumn id="15" name="Target Q"/>
    <tableColumn id="16" name="Target OEE"/>
  </tableColumns>
</table>
</file>

<file path=xl/tables/table6.xml><?xml version="1.0" encoding="utf-8"?>
<table xmlns="http://schemas.openxmlformats.org/spreadsheetml/2006/main" id="6" name="4Parameters" displayName="4Parameters" ref="A4:N83" headerRowCount="1" totalsRowCount="0" totalsRowShown="0">
  <autoFilter ref="A4:N83"/>
  <tableColumns count="14">
    <tableColumn id="1" name="Asset ID"/>
    <tableColumn id="2" name="Tag"/>
    <tableColumn id="3" name="Parameter"/>
    <tableColumn id="4" name="Unit"/>
    <tableColumn id="5" name="Source badge"/>
    <tableColumn id="6" name="Data state today"/>
    <tableColumn id="7" name="Sample (s)"/>
    <tableColumn id="8" name="Target"/>
    <tableColumn id="9" name="LSL"/>
    <tableColumn id="10" name="USL"/>
    <tableColumn id="11" name="SPC chart"/>
    <tableColumn id="12" name="Golden tunnel"/>
    <tableColumn id="13" name="Critical"/>
    <tableColumn id="14" name="Limit origin"/>
  </tableColumns>
</table>
</file>

<file path=xl/tables/table7.xml><?xml version="1.0" encoding="utf-8"?>
<table xmlns="http://schemas.openxmlformats.org/spreadsheetml/2006/main" id="7" name="5MachineStates" displayName="5MachineStates" ref="A4:E12" headerRowCount="1" totalsRowCount="0" totalsRowShown="0">
  <autoFilter ref="A4:E12"/>
  <tableColumns count="5">
    <tableColumn id="1" name="State"/>
    <tableColumn id="2" name="Code"/>
    <tableColumn id="3" name="Colour"/>
    <tableColumn id="4" name="OEE treatment"/>
    <tableColumn id="5" name="Trigger"/>
  </tableColumns>
</table>
</file>

<file path=xl/tables/table8.xml><?xml version="1.0" encoding="utf-8"?>
<table xmlns="http://schemas.openxmlformats.org/spreadsheetml/2006/main" id="8" name="6DowntimeReasons" displayName="6DowntimeReasons" ref="A4:G67" headerRowCount="1" totalsRowCount="0" totalsRowShown="0">
  <autoFilter ref="A4:G67"/>
  <tableColumns count="7">
    <tableColumn id="1" name="Code"/>
    <tableColumn id="2" name="Category"/>
    <tableColumn id="3" name="Group"/>
    <tableColumn id="4" name="Reason"/>
    <tableColumn id="5" name="Lines"/>
    <tableColumn id="6" name="Typical duration (min)"/>
    <tableColumn id="7" name="Loss type"/>
  </tableColumns>
</table>
</file>

<file path=xl/tables/table9.xml><?xml version="1.0" encoding="utf-8"?>
<table xmlns="http://schemas.openxmlformats.org/spreadsheetml/2006/main" id="9" name="7QualityLossReasons" displayName="7QualityLossReasons" ref="A4:E33" headerRowCount="1" totalsRowCount="0" totalsRowShown="0">
  <autoFilter ref="A4:E33"/>
  <tableColumns count="5">
    <tableColumn id="1" name="Code"/>
    <tableColumn id="2" name="Line"/>
    <tableColumn id="3" name="Stage"/>
    <tableColumn id="4" name="Reason"/>
    <tableColumn id="5" name="Typical disposition"/>
  </tableColumns>
</table>
</file>

<file path=xl/tables/table10.xml><?xml version="1.0" encoding="utf-8"?>
<table xmlns="http://schemas.openxmlformats.org/spreadsheetml/2006/main" id="10" name="8LogbookForms" displayName="8LogbookForms" ref="A4:H18" headerRowCount="1" totalsRowCount="0" totalsRowShown="0">
  <autoFilter ref="A4:H18"/>
  <tableColumns count="8">
    <tableColumn id="1" name="Form No"/>
    <tableColumn id="2" name="Title"/>
    <tableColumn id="3" name="Revision"/>
    <tableColumn id="4" name="Effective"/>
    <tableColumn id="5" name="Entry level"/>
    <tableColumn id="6" name="Every (h)"/>
    <tableColumn id="7" name="Assets"/>
    <tableColumn id="8" name="Origin"/>
  </tableColumns>
</table>
</file>

<file path=xl/tables/table11.xml><?xml version="1.0" encoding="utf-8"?>
<table xmlns="http://schemas.openxmlformats.org/spreadsheetml/2006/main" id="11" name="9FormFields" displayName="9FormFields" ref="A4:N283" headerRowCount="1" totalsRowCount="0" totalsRowShown="0">
  <autoFilter ref="A4:N283"/>
  <tableColumns count="14">
    <tableColumn id="1" name="Form No"/>
    <tableColumn id="2" name="Form"/>
    <tableColumn id="3" name="Section"/>
    <tableColumn id="4" name="Repeat"/>
    <tableColumn id="5" name="Field key"/>
    <tableColumn id="6" name="Field label"/>
    <tableColumn id="7" name="Type"/>
    <tableColumn id="8" name="Capture"/>
    <tableColumn id="9" name="Source badge"/>
    <tableColumn id="10" name="Unit"/>
    <tableColumn id="11" name="Req"/>
    <tableColumn id="12" name="Limits"/>
    <tableColumn id="13" name="Limit origin"/>
    <tableColumn id="14" name="Rule / options / 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15" hidden="false" customHeight="false" outlineLevel="0" collapsed="false">
      <c r="A6" s="4" t="s">
        <v>7</v>
      </c>
      <c r="B6" s="4" t="s">
        <v>12</v>
      </c>
      <c r="C6" s="4" t="s">
        <v>9</v>
      </c>
      <c r="D6" s="4" t="s">
        <v>13</v>
      </c>
      <c r="E6" s="4" t="s">
        <v>14</v>
      </c>
    </row>
    <row r="7" customFormat="false" ht="15" hidden="false" customHeight="false" outlineLevel="0" collapsed="false">
      <c r="A7" s="4" t="s">
        <v>7</v>
      </c>
      <c r="B7" s="4" t="s">
        <v>15</v>
      </c>
      <c r="C7" s="4" t="s">
        <v>16</v>
      </c>
      <c r="D7" s="4" t="s">
        <v>17</v>
      </c>
      <c r="E7" s="4" t="s">
        <v>14</v>
      </c>
    </row>
    <row r="8" customFormat="false" ht="15" hidden="false" customHeight="false" outlineLevel="0" collapsed="false">
      <c r="A8" s="4" t="s">
        <v>7</v>
      </c>
      <c r="B8" s="4" t="s">
        <v>18</v>
      </c>
      <c r="C8" s="4" t="s">
        <v>19</v>
      </c>
      <c r="D8" s="4" t="s">
        <v>20</v>
      </c>
      <c r="E8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22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</row>
    <row r="5" customFormat="false" ht="15" hidden="false" customHeight="false" outlineLevel="0" collapsed="false">
      <c r="A5" s="4" t="s">
        <v>27</v>
      </c>
      <c r="B5" s="4" t="s">
        <v>28</v>
      </c>
      <c r="C5" s="4" t="s">
        <v>29</v>
      </c>
      <c r="D5" s="4" t="s">
        <v>30</v>
      </c>
    </row>
    <row r="6" customFormat="false" ht="15" hidden="false" customHeight="false" outlineLevel="0" collapsed="false">
      <c r="A6" s="4" t="s">
        <v>27</v>
      </c>
      <c r="B6" s="4" t="s">
        <v>28</v>
      </c>
      <c r="C6" s="4" t="s">
        <v>29</v>
      </c>
      <c r="D6" s="4" t="s">
        <v>31</v>
      </c>
    </row>
    <row r="7" customFormat="false" ht="15" hidden="false" customHeight="false" outlineLevel="0" collapsed="false">
      <c r="A7" s="4" t="s">
        <v>27</v>
      </c>
      <c r="B7" s="4" t="s">
        <v>28</v>
      </c>
      <c r="C7" s="4" t="s">
        <v>29</v>
      </c>
      <c r="D7" s="4" t="s">
        <v>32</v>
      </c>
    </row>
    <row r="8" customFormat="false" ht="15" hidden="false" customHeight="false" outlineLevel="0" collapsed="false">
      <c r="A8" s="4" t="s">
        <v>27</v>
      </c>
      <c r="B8" s="4" t="s">
        <v>28</v>
      </c>
      <c r="C8" s="4" t="s">
        <v>33</v>
      </c>
      <c r="D8" s="4" t="s">
        <v>34</v>
      </c>
    </row>
    <row r="9" customFormat="false" ht="15" hidden="false" customHeight="false" outlineLevel="0" collapsed="false">
      <c r="A9" s="4" t="s">
        <v>35</v>
      </c>
      <c r="B9" s="4" t="s">
        <v>36</v>
      </c>
      <c r="C9" s="4" t="s">
        <v>29</v>
      </c>
      <c r="D9" s="4" t="s">
        <v>37</v>
      </c>
    </row>
    <row r="10" customFormat="false" ht="15" hidden="false" customHeight="false" outlineLevel="0" collapsed="false">
      <c r="A10" s="4" t="s">
        <v>35</v>
      </c>
      <c r="B10" s="4" t="s">
        <v>36</v>
      </c>
      <c r="C10" s="4" t="s">
        <v>29</v>
      </c>
      <c r="D10" s="4" t="s">
        <v>38</v>
      </c>
    </row>
    <row r="11" customFormat="false" ht="15" hidden="false" customHeight="false" outlineLevel="0" collapsed="false">
      <c r="A11" s="4" t="s">
        <v>35</v>
      </c>
      <c r="B11" s="4" t="s">
        <v>36</v>
      </c>
      <c r="C11" s="4" t="s">
        <v>29</v>
      </c>
      <c r="D11" s="4" t="s">
        <v>39</v>
      </c>
    </row>
    <row r="12" customFormat="false" ht="15" hidden="false" customHeight="false" outlineLevel="0" collapsed="false">
      <c r="A12" s="4" t="s">
        <v>35</v>
      </c>
      <c r="B12" s="4" t="s">
        <v>36</v>
      </c>
      <c r="C12" s="4" t="s">
        <v>33</v>
      </c>
      <c r="D12" s="4" t="s">
        <v>40</v>
      </c>
    </row>
    <row r="13" customFormat="false" ht="15" hidden="false" customHeight="false" outlineLevel="0" collapsed="false">
      <c r="A13" s="4" t="s">
        <v>41</v>
      </c>
      <c r="B13" s="4" t="s">
        <v>42</v>
      </c>
      <c r="C13" s="4" t="s">
        <v>43</v>
      </c>
      <c r="D13" s="4" t="s">
        <v>44</v>
      </c>
    </row>
    <row r="14" customFormat="false" ht="15" hidden="false" customHeight="false" outlineLevel="0" collapsed="false">
      <c r="A14" s="4" t="s">
        <v>41</v>
      </c>
      <c r="B14" s="4" t="s">
        <v>42</v>
      </c>
      <c r="C14" s="4" t="s">
        <v>45</v>
      </c>
      <c r="D14" s="4" t="s">
        <v>46</v>
      </c>
    </row>
    <row r="15" customFormat="false" ht="15" hidden="false" customHeight="false" outlineLevel="0" collapsed="false">
      <c r="A15" s="4" t="s">
        <v>41</v>
      </c>
      <c r="B15" s="4" t="s">
        <v>42</v>
      </c>
      <c r="C15" s="4" t="s">
        <v>47</v>
      </c>
      <c r="D15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5" min="13" style="0" width="9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23.85" hidden="false" customHeight="false" outlineLevel="0" collapsed="false">
      <c r="A4" s="3" t="s">
        <v>51</v>
      </c>
      <c r="B4" s="3" t="s">
        <v>52</v>
      </c>
      <c r="C4" s="3" t="s">
        <v>4</v>
      </c>
      <c r="D4" s="3" t="s">
        <v>3</v>
      </c>
      <c r="E4" s="3" t="s">
        <v>53</v>
      </c>
      <c r="F4" s="3" t="s">
        <v>54</v>
      </c>
      <c r="G4" s="3" t="s">
        <v>55</v>
      </c>
      <c r="H4" s="3" t="s">
        <v>56</v>
      </c>
      <c r="I4" s="3" t="s">
        <v>57</v>
      </c>
      <c r="J4" s="3" t="s">
        <v>58</v>
      </c>
      <c r="K4" s="3" t="s">
        <v>59</v>
      </c>
      <c r="L4" s="3" t="s">
        <v>60</v>
      </c>
      <c r="M4" s="3" t="s">
        <v>61</v>
      </c>
      <c r="N4" s="3" t="s">
        <v>62</v>
      </c>
      <c r="O4" s="3" t="s">
        <v>63</v>
      </c>
      <c r="P4" s="3" t="s">
        <v>64</v>
      </c>
    </row>
    <row r="5" customFormat="false" ht="15" hidden="false" customHeight="false" outlineLevel="0" collapsed="false">
      <c r="A5" s="4" t="s">
        <v>65</v>
      </c>
      <c r="B5" s="4" t="s">
        <v>66</v>
      </c>
      <c r="C5" s="4" t="s">
        <v>9</v>
      </c>
      <c r="D5" s="4" t="s">
        <v>67</v>
      </c>
      <c r="E5" s="4" t="s">
        <v>68</v>
      </c>
      <c r="F5" s="4" t="s">
        <v>69</v>
      </c>
      <c r="G5" s="4"/>
      <c r="H5" s="4" t="s">
        <v>70</v>
      </c>
      <c r="I5" s="4" t="s">
        <v>71</v>
      </c>
      <c r="J5" s="4" t="s">
        <v>72</v>
      </c>
      <c r="K5" s="4" t="n">
        <v>8</v>
      </c>
      <c r="L5" s="4" t="s">
        <v>73</v>
      </c>
      <c r="M5" s="5" t="n">
        <v>0.79</v>
      </c>
      <c r="N5" s="5" t="n">
        <v>0.91</v>
      </c>
      <c r="O5" s="5" t="n">
        <v>0.97</v>
      </c>
      <c r="P5" s="5" t="n">
        <f aca="false">M5*N5*O5</f>
        <v>0.697333</v>
      </c>
    </row>
    <row r="6" customFormat="false" ht="15" hidden="false" customHeight="false" outlineLevel="0" collapsed="false">
      <c r="A6" s="4" t="s">
        <v>74</v>
      </c>
      <c r="B6" s="4" t="s">
        <v>75</v>
      </c>
      <c r="C6" s="4" t="s">
        <v>9</v>
      </c>
      <c r="D6" s="4" t="s">
        <v>67</v>
      </c>
      <c r="E6" s="4" t="s">
        <v>68</v>
      </c>
      <c r="F6" s="4" t="s">
        <v>69</v>
      </c>
      <c r="G6" s="4"/>
      <c r="H6" s="4" t="s">
        <v>70</v>
      </c>
      <c r="I6" s="4" t="s">
        <v>71</v>
      </c>
      <c r="J6" s="4" t="s">
        <v>72</v>
      </c>
      <c r="K6" s="4" t="n">
        <v>8</v>
      </c>
      <c r="L6" s="4" t="s">
        <v>73</v>
      </c>
      <c r="M6" s="5" t="n">
        <v>0.78</v>
      </c>
      <c r="N6" s="5" t="n">
        <v>0.91</v>
      </c>
      <c r="O6" s="5" t="n">
        <v>0.97</v>
      </c>
      <c r="P6" s="5" t="n">
        <f aca="false">M6*N6*O6</f>
        <v>0.688506</v>
      </c>
    </row>
    <row r="7" customFormat="false" ht="15" hidden="false" customHeight="false" outlineLevel="0" collapsed="false">
      <c r="A7" s="4" t="s">
        <v>76</v>
      </c>
      <c r="B7" s="4" t="s">
        <v>77</v>
      </c>
      <c r="C7" s="4" t="s">
        <v>9</v>
      </c>
      <c r="D7" s="4" t="s">
        <v>67</v>
      </c>
      <c r="E7" s="4" t="s">
        <v>68</v>
      </c>
      <c r="F7" s="4" t="s">
        <v>69</v>
      </c>
      <c r="G7" s="4"/>
      <c r="H7" s="4" t="s">
        <v>70</v>
      </c>
      <c r="I7" s="4" t="s">
        <v>71</v>
      </c>
      <c r="J7" s="4" t="s">
        <v>72</v>
      </c>
      <c r="K7" s="4" t="n">
        <v>8</v>
      </c>
      <c r="L7" s="4" t="s">
        <v>73</v>
      </c>
      <c r="M7" s="5" t="n">
        <v>0.77</v>
      </c>
      <c r="N7" s="5" t="n">
        <v>0.91</v>
      </c>
      <c r="O7" s="5" t="n">
        <v>0.97</v>
      </c>
      <c r="P7" s="5" t="n">
        <f aca="false">M7*N7*O7</f>
        <v>0.679679</v>
      </c>
    </row>
    <row r="8" customFormat="false" ht="15" hidden="false" customHeight="false" outlineLevel="0" collapsed="false">
      <c r="A8" s="4" t="s">
        <v>78</v>
      </c>
      <c r="B8" s="4" t="s">
        <v>79</v>
      </c>
      <c r="C8" s="4" t="s">
        <v>9</v>
      </c>
      <c r="D8" s="4" t="s">
        <v>67</v>
      </c>
      <c r="E8" s="4" t="s">
        <v>68</v>
      </c>
      <c r="F8" s="4" t="s">
        <v>69</v>
      </c>
      <c r="G8" s="4"/>
      <c r="H8" s="4" t="s">
        <v>70</v>
      </c>
      <c r="I8" s="4" t="s">
        <v>71</v>
      </c>
      <c r="J8" s="4" t="s">
        <v>72</v>
      </c>
      <c r="K8" s="4" t="n">
        <v>8</v>
      </c>
      <c r="L8" s="4" t="s">
        <v>73</v>
      </c>
      <c r="M8" s="5" t="n">
        <v>0.76</v>
      </c>
      <c r="N8" s="5" t="n">
        <v>0.91</v>
      </c>
      <c r="O8" s="5" t="n">
        <v>0.97</v>
      </c>
      <c r="P8" s="5" t="n">
        <f aca="false">M8*N8*O8</f>
        <v>0.670852</v>
      </c>
    </row>
    <row r="9" customFormat="false" ht="15" hidden="false" customHeight="false" outlineLevel="0" collapsed="false">
      <c r="A9" s="4" t="s">
        <v>80</v>
      </c>
      <c r="B9" s="4" t="s">
        <v>81</v>
      </c>
      <c r="C9" s="4" t="s">
        <v>9</v>
      </c>
      <c r="D9" s="4" t="s">
        <v>82</v>
      </c>
      <c r="E9" s="4" t="s">
        <v>68</v>
      </c>
      <c r="F9" s="4" t="s">
        <v>83</v>
      </c>
      <c r="G9" s="4"/>
      <c r="H9" s="4" t="s">
        <v>84</v>
      </c>
      <c r="I9" s="4" t="s">
        <v>85</v>
      </c>
      <c r="J9" s="4" t="s">
        <v>86</v>
      </c>
      <c r="K9" s="4" t="n">
        <v>23.5</v>
      </c>
      <c r="L9" s="4" t="s">
        <v>87</v>
      </c>
      <c r="M9" s="5" t="n">
        <v>0.79</v>
      </c>
      <c r="N9" s="5" t="n">
        <v>0.74</v>
      </c>
      <c r="O9" s="5" t="n">
        <v>0.93</v>
      </c>
      <c r="P9" s="5" t="n">
        <f aca="false">M9*N9*O9</f>
        <v>0.543678</v>
      </c>
    </row>
    <row r="10" customFormat="false" ht="15" hidden="false" customHeight="false" outlineLevel="0" collapsed="false">
      <c r="A10" s="4" t="s">
        <v>88</v>
      </c>
      <c r="B10" s="4" t="s">
        <v>89</v>
      </c>
      <c r="C10" s="4" t="s">
        <v>9</v>
      </c>
      <c r="D10" s="4" t="s">
        <v>82</v>
      </c>
      <c r="E10" s="4" t="s">
        <v>68</v>
      </c>
      <c r="F10" s="4" t="s">
        <v>83</v>
      </c>
      <c r="G10" s="4"/>
      <c r="H10" s="4" t="s">
        <v>90</v>
      </c>
      <c r="I10" s="4" t="s">
        <v>91</v>
      </c>
      <c r="J10" s="4" t="s">
        <v>92</v>
      </c>
      <c r="K10" s="4" t="n">
        <v>21.5</v>
      </c>
      <c r="L10" s="4" t="s">
        <v>87</v>
      </c>
      <c r="M10" s="5" t="n">
        <v>0.83</v>
      </c>
      <c r="N10" s="5" t="n">
        <v>0.86</v>
      </c>
      <c r="O10" s="5" t="n">
        <v>0.97</v>
      </c>
      <c r="P10" s="5" t="n">
        <f aca="false">M10*N10*O10</f>
        <v>0.692386</v>
      </c>
    </row>
    <row r="11" customFormat="false" ht="23.85" hidden="false" customHeight="false" outlineLevel="0" collapsed="false">
      <c r="A11" s="4" t="s">
        <v>93</v>
      </c>
      <c r="B11" s="4" t="s">
        <v>94</v>
      </c>
      <c r="C11" s="4" t="s">
        <v>9</v>
      </c>
      <c r="D11" s="4" t="s">
        <v>82</v>
      </c>
      <c r="E11" s="4" t="s">
        <v>95</v>
      </c>
      <c r="F11" s="4" t="s">
        <v>96</v>
      </c>
      <c r="G11" s="4" t="s">
        <v>97</v>
      </c>
      <c r="H11" s="4" t="s">
        <v>98</v>
      </c>
      <c r="I11" s="4" t="s">
        <v>99</v>
      </c>
      <c r="J11" s="4" t="s">
        <v>100</v>
      </c>
      <c r="K11" s="4" t="n">
        <v>15.5</v>
      </c>
      <c r="L11" s="4" t="s">
        <v>101</v>
      </c>
      <c r="M11" s="5" t="n">
        <v>0.81</v>
      </c>
      <c r="N11" s="5" t="n">
        <v>0.8</v>
      </c>
      <c r="O11" s="5" t="n">
        <v>0.92</v>
      </c>
      <c r="P11" s="5" t="n">
        <f aca="false">M11*N11*O11</f>
        <v>0.59616</v>
      </c>
    </row>
    <row r="12" customFormat="false" ht="23.85" hidden="false" customHeight="false" outlineLevel="0" collapsed="false">
      <c r="A12" s="4" t="s">
        <v>102</v>
      </c>
      <c r="B12" s="4" t="s">
        <v>103</v>
      </c>
      <c r="C12" s="4" t="s">
        <v>9</v>
      </c>
      <c r="D12" s="4" t="s">
        <v>82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4" t="s">
        <v>100</v>
      </c>
      <c r="K12" s="4" t="n">
        <v>15.5</v>
      </c>
      <c r="L12" s="4" t="s">
        <v>101</v>
      </c>
      <c r="M12" s="5" t="n">
        <v>0.77</v>
      </c>
      <c r="N12" s="5" t="n">
        <v>0.76</v>
      </c>
      <c r="O12" s="5" t="n">
        <v>0.89</v>
      </c>
      <c r="P12" s="5" t="n">
        <f aca="false">M12*N12*O12</f>
        <v>0.520828</v>
      </c>
    </row>
    <row r="13" customFormat="false" ht="15" hidden="false" customHeight="false" outlineLevel="0" collapsed="false">
      <c r="A13" s="4" t="s">
        <v>104</v>
      </c>
      <c r="B13" s="4" t="s">
        <v>105</v>
      </c>
      <c r="C13" s="4" t="s">
        <v>9</v>
      </c>
      <c r="D13" s="4" t="s">
        <v>82</v>
      </c>
      <c r="E13" s="4" t="s">
        <v>95</v>
      </c>
      <c r="F13" s="4" t="s">
        <v>106</v>
      </c>
      <c r="G13" s="4"/>
      <c r="H13" s="4" t="s">
        <v>107</v>
      </c>
      <c r="I13" s="4" t="s">
        <v>108</v>
      </c>
      <c r="J13" s="4" t="s">
        <v>100</v>
      </c>
      <c r="K13" s="4" t="n">
        <v>9</v>
      </c>
      <c r="L13" s="4" t="s">
        <v>101</v>
      </c>
      <c r="M13" s="5" t="n">
        <v>0.86</v>
      </c>
      <c r="N13" s="5" t="n">
        <v>0.82</v>
      </c>
      <c r="O13" s="5" t="n">
        <v>0.95</v>
      </c>
      <c r="P13" s="5" t="n">
        <f aca="false">M13*N13*O13</f>
        <v>0.66994</v>
      </c>
    </row>
    <row r="14" customFormat="false" ht="23.85" hidden="false" customHeight="false" outlineLevel="0" collapsed="false">
      <c r="A14" s="4" t="s">
        <v>109</v>
      </c>
      <c r="B14" s="4" t="s">
        <v>110</v>
      </c>
      <c r="C14" s="4" t="s">
        <v>9</v>
      </c>
      <c r="D14" s="4" t="s">
        <v>82</v>
      </c>
      <c r="E14" s="4" t="s">
        <v>111</v>
      </c>
      <c r="F14" s="4" t="s">
        <v>96</v>
      </c>
      <c r="G14" s="4"/>
      <c r="H14" s="4" t="s">
        <v>112</v>
      </c>
      <c r="I14" s="4" t="s">
        <v>113</v>
      </c>
      <c r="J14" s="4" t="s">
        <v>114</v>
      </c>
      <c r="K14" s="4" t="n">
        <v>11</v>
      </c>
      <c r="L14" s="4" t="s">
        <v>115</v>
      </c>
      <c r="M14" s="5" t="n">
        <v>0.86</v>
      </c>
      <c r="N14" s="5" t="n">
        <v>0.83</v>
      </c>
      <c r="O14" s="5" t="n">
        <v>0.96</v>
      </c>
      <c r="P14" s="5" t="n">
        <f aca="false">M14*N14*O14</f>
        <v>0.685248</v>
      </c>
    </row>
    <row r="15" customFormat="false" ht="15" hidden="false" customHeight="false" outlineLevel="0" collapsed="false">
      <c r="A15" s="4" t="s">
        <v>116</v>
      </c>
      <c r="B15" s="4" t="s">
        <v>117</v>
      </c>
      <c r="C15" s="4" t="s">
        <v>9</v>
      </c>
      <c r="D15" s="4" t="s">
        <v>82</v>
      </c>
      <c r="E15" s="4" t="s">
        <v>111</v>
      </c>
      <c r="F15" s="4" t="s">
        <v>106</v>
      </c>
      <c r="G15" s="4"/>
      <c r="H15" s="4" t="s">
        <v>112</v>
      </c>
      <c r="I15" s="4" t="s">
        <v>118</v>
      </c>
      <c r="J15" s="4" t="s">
        <v>114</v>
      </c>
      <c r="K15" s="4" t="n">
        <v>19</v>
      </c>
      <c r="L15" s="4" t="s">
        <v>115</v>
      </c>
      <c r="M15" s="5" t="n">
        <v>0.9</v>
      </c>
      <c r="N15" s="5" t="n">
        <v>0.88</v>
      </c>
      <c r="O15" s="5" t="n">
        <v>0.97</v>
      </c>
      <c r="P15" s="5" t="n">
        <f aca="false">M15*N15*O15</f>
        <v>0.76824</v>
      </c>
    </row>
    <row r="16" customFormat="false" ht="23.85" hidden="false" customHeight="false" outlineLevel="0" collapsed="false">
      <c r="A16" s="4" t="s">
        <v>119</v>
      </c>
      <c r="B16" s="4" t="s">
        <v>120</v>
      </c>
      <c r="C16" s="4" t="s">
        <v>16</v>
      </c>
      <c r="D16" s="4" t="s">
        <v>121</v>
      </c>
      <c r="E16" s="4" t="s">
        <v>122</v>
      </c>
      <c r="F16" s="4" t="s">
        <v>83</v>
      </c>
      <c r="G16" s="4"/>
      <c r="H16" s="4" t="s">
        <v>123</v>
      </c>
      <c r="I16" s="4" t="s">
        <v>124</v>
      </c>
      <c r="J16" s="4" t="s">
        <v>125</v>
      </c>
      <c r="K16" s="4" t="n">
        <v>40.5</v>
      </c>
      <c r="L16" s="4" t="s">
        <v>126</v>
      </c>
      <c r="M16" s="5" t="n">
        <v>0.84</v>
      </c>
      <c r="N16" s="5" t="n">
        <v>0.86</v>
      </c>
      <c r="O16" s="5" t="n">
        <v>0.96</v>
      </c>
      <c r="P16" s="5" t="n">
        <f aca="false">M16*N16*O16</f>
        <v>0.693504</v>
      </c>
    </row>
    <row r="17" customFormat="false" ht="23.85" hidden="false" customHeight="false" outlineLevel="0" collapsed="false">
      <c r="A17" s="4" t="s">
        <v>127</v>
      </c>
      <c r="B17" s="4" t="s">
        <v>128</v>
      </c>
      <c r="C17" s="4" t="s">
        <v>16</v>
      </c>
      <c r="D17" s="4" t="s">
        <v>121</v>
      </c>
      <c r="E17" s="4" t="s">
        <v>129</v>
      </c>
      <c r="F17" s="4" t="s">
        <v>83</v>
      </c>
      <c r="G17" s="4" t="s">
        <v>97</v>
      </c>
      <c r="H17" s="4" t="s">
        <v>130</v>
      </c>
      <c r="I17" s="4" t="s">
        <v>124</v>
      </c>
      <c r="J17" s="4" t="s">
        <v>131</v>
      </c>
      <c r="K17" s="4" t="n">
        <v>50.5</v>
      </c>
      <c r="L17" s="4" t="s">
        <v>132</v>
      </c>
      <c r="M17" s="5" t="n">
        <v>0.72</v>
      </c>
      <c r="N17" s="5" t="n">
        <v>0.81</v>
      </c>
      <c r="O17" s="5" t="n">
        <v>0.91</v>
      </c>
      <c r="P17" s="5" t="n">
        <f aca="false">M17*N17*O17</f>
        <v>0.530712</v>
      </c>
    </row>
    <row r="18" customFormat="false" ht="35.05" hidden="false" customHeight="false" outlineLevel="0" collapsed="false">
      <c r="A18" s="4" t="s">
        <v>133</v>
      </c>
      <c r="B18" s="4" t="s">
        <v>134</v>
      </c>
      <c r="C18" s="4" t="s">
        <v>16</v>
      </c>
      <c r="D18" s="4" t="s">
        <v>121</v>
      </c>
      <c r="E18" s="4" t="s">
        <v>135</v>
      </c>
      <c r="F18" s="4" t="s">
        <v>96</v>
      </c>
      <c r="G18" s="4"/>
      <c r="H18" s="4" t="s">
        <v>136</v>
      </c>
      <c r="I18" s="4" t="s">
        <v>137</v>
      </c>
      <c r="J18" s="4" t="s">
        <v>138</v>
      </c>
      <c r="K18" s="4" t="n">
        <v>31</v>
      </c>
      <c r="L18" s="4" t="s">
        <v>139</v>
      </c>
      <c r="M18" s="5" t="n">
        <v>0.86</v>
      </c>
      <c r="N18" s="5" t="n">
        <v>0.8</v>
      </c>
      <c r="O18" s="5" t="n">
        <v>0.95</v>
      </c>
      <c r="P18" s="5" t="n">
        <f aca="false">M18*N18*O18</f>
        <v>0.6536</v>
      </c>
    </row>
    <row r="19" customFormat="false" ht="35.05" hidden="false" customHeight="false" outlineLevel="0" collapsed="false">
      <c r="A19" s="4" t="s">
        <v>140</v>
      </c>
      <c r="B19" s="4" t="s">
        <v>141</v>
      </c>
      <c r="C19" s="4" t="s">
        <v>16</v>
      </c>
      <c r="D19" s="4" t="s">
        <v>121</v>
      </c>
      <c r="E19" s="4" t="s">
        <v>135</v>
      </c>
      <c r="F19" s="4" t="s">
        <v>96</v>
      </c>
      <c r="G19" s="4"/>
      <c r="H19" s="4" t="s">
        <v>136</v>
      </c>
      <c r="I19" s="4" t="s">
        <v>137</v>
      </c>
      <c r="J19" s="4" t="s">
        <v>138</v>
      </c>
      <c r="K19" s="4" t="n">
        <v>31</v>
      </c>
      <c r="L19" s="4" t="s">
        <v>139</v>
      </c>
      <c r="M19" s="5" t="n">
        <v>0.84</v>
      </c>
      <c r="N19" s="5" t="n">
        <v>0.78</v>
      </c>
      <c r="O19" s="5" t="n">
        <v>0.94</v>
      </c>
      <c r="P19" s="5" t="n">
        <f aca="false">M19*N19*O19</f>
        <v>0.615888</v>
      </c>
    </row>
    <row r="20" customFormat="false" ht="35.05" hidden="false" customHeight="false" outlineLevel="0" collapsed="false">
      <c r="A20" s="4" t="s">
        <v>142</v>
      </c>
      <c r="B20" s="4" t="s">
        <v>143</v>
      </c>
      <c r="C20" s="4" t="s">
        <v>16</v>
      </c>
      <c r="D20" s="4" t="s">
        <v>121</v>
      </c>
      <c r="E20" s="4" t="s">
        <v>135</v>
      </c>
      <c r="F20" s="4" t="s">
        <v>96</v>
      </c>
      <c r="G20" s="4"/>
      <c r="H20" s="4" t="s">
        <v>136</v>
      </c>
      <c r="I20" s="4" t="s">
        <v>137</v>
      </c>
      <c r="J20" s="4" t="s">
        <v>138</v>
      </c>
      <c r="K20" s="4" t="n">
        <v>31</v>
      </c>
      <c r="L20" s="4" t="s">
        <v>139</v>
      </c>
      <c r="M20" s="5" t="n">
        <v>0.78</v>
      </c>
      <c r="N20" s="5" t="n">
        <v>0.7</v>
      </c>
      <c r="O20" s="5" t="n">
        <v>0.9</v>
      </c>
      <c r="P20" s="5" t="n">
        <f aca="false">M20*N20*O20</f>
        <v>0.4914</v>
      </c>
    </row>
    <row r="21" customFormat="false" ht="35.05" hidden="false" customHeight="false" outlineLevel="0" collapsed="false">
      <c r="A21" s="4" t="s">
        <v>144</v>
      </c>
      <c r="B21" s="4" t="s">
        <v>145</v>
      </c>
      <c r="C21" s="4" t="s">
        <v>16</v>
      </c>
      <c r="D21" s="4" t="s">
        <v>121</v>
      </c>
      <c r="E21" s="4" t="s">
        <v>135</v>
      </c>
      <c r="F21" s="4" t="s">
        <v>96</v>
      </c>
      <c r="G21" s="4"/>
      <c r="H21" s="4" t="s">
        <v>136</v>
      </c>
      <c r="I21" s="4" t="s">
        <v>137</v>
      </c>
      <c r="J21" s="4" t="s">
        <v>138</v>
      </c>
      <c r="K21" s="4" t="n">
        <v>31</v>
      </c>
      <c r="L21" s="4" t="s">
        <v>139</v>
      </c>
      <c r="M21" s="5" t="n">
        <v>0.88</v>
      </c>
      <c r="N21" s="5" t="n">
        <v>0.82</v>
      </c>
      <c r="O21" s="5" t="n">
        <v>0.97</v>
      </c>
      <c r="P21" s="5" t="n">
        <f aca="false">M21*N21*O21</f>
        <v>0.699952</v>
      </c>
    </row>
    <row r="22" customFormat="false" ht="35.05" hidden="false" customHeight="false" outlineLevel="0" collapsed="false">
      <c r="A22" s="4" t="s">
        <v>146</v>
      </c>
      <c r="B22" s="4" t="s">
        <v>147</v>
      </c>
      <c r="C22" s="4" t="s">
        <v>16</v>
      </c>
      <c r="D22" s="4" t="s">
        <v>121</v>
      </c>
      <c r="E22" s="4" t="s">
        <v>135</v>
      </c>
      <c r="F22" s="4" t="s">
        <v>96</v>
      </c>
      <c r="G22" s="4"/>
      <c r="H22" s="4" t="s">
        <v>136</v>
      </c>
      <c r="I22" s="4" t="s">
        <v>137</v>
      </c>
      <c r="J22" s="4" t="s">
        <v>138</v>
      </c>
      <c r="K22" s="4" t="n">
        <v>31</v>
      </c>
      <c r="L22" s="4" t="s">
        <v>139</v>
      </c>
      <c r="M22" s="5" t="n">
        <v>0.82</v>
      </c>
      <c r="N22" s="5" t="n">
        <v>0.76</v>
      </c>
      <c r="O22" s="5" t="n">
        <v>0.93</v>
      </c>
      <c r="P22" s="5" t="n">
        <f aca="false">M22*N22*O22</f>
        <v>0.579576</v>
      </c>
    </row>
    <row r="23" customFormat="false" ht="35.05" hidden="false" customHeight="false" outlineLevel="0" collapsed="false">
      <c r="A23" s="4" t="s">
        <v>148</v>
      </c>
      <c r="B23" s="4" t="s">
        <v>149</v>
      </c>
      <c r="C23" s="4" t="s">
        <v>16</v>
      </c>
      <c r="D23" s="4" t="s">
        <v>121</v>
      </c>
      <c r="E23" s="4" t="s">
        <v>150</v>
      </c>
      <c r="F23" s="4" t="s">
        <v>96</v>
      </c>
      <c r="G23" s="4"/>
      <c r="H23" s="4" t="s">
        <v>151</v>
      </c>
      <c r="I23" s="4" t="s">
        <v>152</v>
      </c>
      <c r="J23" s="4" t="s">
        <v>153</v>
      </c>
      <c r="K23" s="4" t="n">
        <v>10</v>
      </c>
      <c r="L23" s="4" t="s">
        <v>154</v>
      </c>
      <c r="M23" s="5" t="n">
        <v>0.8</v>
      </c>
      <c r="N23" s="5" t="n">
        <v>0.85</v>
      </c>
      <c r="O23" s="5" t="n">
        <v>0.94</v>
      </c>
      <c r="P23" s="5" t="n">
        <f aca="false">M23*N23*O23</f>
        <v>0.6392</v>
      </c>
    </row>
    <row r="24" customFormat="false" ht="35.05" hidden="false" customHeight="false" outlineLevel="0" collapsed="false">
      <c r="A24" s="4" t="s">
        <v>155</v>
      </c>
      <c r="B24" s="4" t="s">
        <v>156</v>
      </c>
      <c r="C24" s="4" t="s">
        <v>16</v>
      </c>
      <c r="D24" s="4" t="s">
        <v>121</v>
      </c>
      <c r="E24" s="4" t="s">
        <v>150</v>
      </c>
      <c r="F24" s="4" t="s">
        <v>96</v>
      </c>
      <c r="G24" s="4"/>
      <c r="H24" s="4" t="s">
        <v>151</v>
      </c>
      <c r="I24" s="4" t="s">
        <v>152</v>
      </c>
      <c r="J24" s="4" t="s">
        <v>153</v>
      </c>
      <c r="K24" s="4" t="n">
        <v>10</v>
      </c>
      <c r="L24" s="4" t="s">
        <v>154</v>
      </c>
      <c r="M24" s="5" t="n">
        <v>0.74</v>
      </c>
      <c r="N24" s="5" t="n">
        <v>0.79</v>
      </c>
      <c r="O24" s="5" t="n">
        <v>0.9</v>
      </c>
      <c r="P24" s="5" t="n">
        <f aca="false">M24*N24*O24</f>
        <v>0.52614</v>
      </c>
    </row>
    <row r="25" customFormat="false" ht="23.85" hidden="false" customHeight="false" outlineLevel="0" collapsed="false">
      <c r="A25" s="4" t="s">
        <v>157</v>
      </c>
      <c r="B25" s="4" t="s">
        <v>158</v>
      </c>
      <c r="C25" s="4" t="s">
        <v>16</v>
      </c>
      <c r="D25" s="4" t="s">
        <v>121</v>
      </c>
      <c r="E25" s="4" t="s">
        <v>159</v>
      </c>
      <c r="F25" s="4" t="s">
        <v>106</v>
      </c>
      <c r="G25" s="4"/>
      <c r="H25" s="4" t="s">
        <v>160</v>
      </c>
      <c r="I25" s="4" t="s">
        <v>161</v>
      </c>
      <c r="J25" s="4" t="s">
        <v>162</v>
      </c>
      <c r="K25" s="4" t="n">
        <v>1.75</v>
      </c>
      <c r="L25" s="4" t="s">
        <v>139</v>
      </c>
      <c r="M25" s="5" t="n">
        <v>0.9</v>
      </c>
      <c r="N25" s="5" t="n">
        <v>0.8</v>
      </c>
      <c r="O25" s="5" t="n">
        <v>0.97</v>
      </c>
      <c r="P25" s="5" t="n">
        <f aca="false">M25*N25*O25</f>
        <v>0.6984</v>
      </c>
    </row>
    <row r="26" customFormat="false" ht="23.85" hidden="false" customHeight="false" outlineLevel="0" collapsed="false">
      <c r="A26" s="4" t="s">
        <v>163</v>
      </c>
      <c r="B26" s="4" t="s">
        <v>164</v>
      </c>
      <c r="C26" s="4" t="s">
        <v>16</v>
      </c>
      <c r="D26" s="4" t="s">
        <v>121</v>
      </c>
      <c r="E26" s="4" t="s">
        <v>159</v>
      </c>
      <c r="F26" s="4" t="s">
        <v>106</v>
      </c>
      <c r="G26" s="4"/>
      <c r="H26" s="4" t="s">
        <v>136</v>
      </c>
      <c r="I26" s="4" t="s">
        <v>118</v>
      </c>
      <c r="J26" s="4" t="s">
        <v>162</v>
      </c>
      <c r="K26" s="4" t="n">
        <v>25</v>
      </c>
      <c r="L26" s="4" t="s">
        <v>139</v>
      </c>
      <c r="M26" s="5" t="n">
        <v>0.9</v>
      </c>
      <c r="N26" s="5" t="n">
        <v>0.9</v>
      </c>
      <c r="O26" s="5" t="n">
        <v>0.96</v>
      </c>
      <c r="P26" s="5" t="n">
        <f aca="false">M26*N26*O26</f>
        <v>0.7776</v>
      </c>
    </row>
    <row r="27" customFormat="false" ht="23.85" hidden="false" customHeight="false" outlineLevel="0" collapsed="false">
      <c r="A27" s="4" t="s">
        <v>165</v>
      </c>
      <c r="B27" s="4" t="s">
        <v>166</v>
      </c>
      <c r="C27" s="4" t="s">
        <v>16</v>
      </c>
      <c r="D27" s="4" t="s">
        <v>121</v>
      </c>
      <c r="E27" s="4" t="s">
        <v>159</v>
      </c>
      <c r="F27" s="4" t="s">
        <v>106</v>
      </c>
      <c r="G27" s="4"/>
      <c r="H27" s="4" t="s">
        <v>136</v>
      </c>
      <c r="I27" s="4" t="s">
        <v>118</v>
      </c>
      <c r="J27" s="4" t="s">
        <v>162</v>
      </c>
      <c r="K27" s="4" t="n">
        <v>25</v>
      </c>
      <c r="L27" s="4" t="s">
        <v>139</v>
      </c>
      <c r="M27" s="5" t="n">
        <v>0.9</v>
      </c>
      <c r="N27" s="5" t="n">
        <v>0.9</v>
      </c>
      <c r="O27" s="5" t="n">
        <v>0.96</v>
      </c>
      <c r="P27" s="5" t="n">
        <f aca="false">M27*N27*O27</f>
        <v>0.7776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35.05" hidden="false" customHeight="false" outlineLevel="0" collapsed="false">
      <c r="A4" s="3" t="s">
        <v>51</v>
      </c>
      <c r="B4" s="3" t="s">
        <v>169</v>
      </c>
      <c r="C4" s="3" t="s">
        <v>170</v>
      </c>
      <c r="D4" s="3" t="s">
        <v>171</v>
      </c>
      <c r="E4" s="3" t="s">
        <v>172</v>
      </c>
      <c r="F4" s="3" t="s">
        <v>173</v>
      </c>
      <c r="G4" s="3" t="s">
        <v>174</v>
      </c>
      <c r="H4" s="3" t="s">
        <v>175</v>
      </c>
      <c r="I4" s="3" t="s">
        <v>176</v>
      </c>
      <c r="J4" s="3" t="s">
        <v>177</v>
      </c>
      <c r="K4" s="3" t="s">
        <v>178</v>
      </c>
      <c r="L4" s="3" t="s">
        <v>179</v>
      </c>
      <c r="M4" s="3" t="s">
        <v>180</v>
      </c>
      <c r="N4" s="3" t="s">
        <v>181</v>
      </c>
    </row>
    <row r="5" customFormat="false" ht="15" hidden="false" customHeight="false" outlineLevel="0" collapsed="false">
      <c r="A5" s="4" t="s">
        <v>119</v>
      </c>
      <c r="B5" s="4" t="s">
        <v>182</v>
      </c>
      <c r="C5" s="4" t="s">
        <v>183</v>
      </c>
      <c r="D5" s="4" t="s">
        <v>184</v>
      </c>
      <c r="E5" s="4" t="s">
        <v>185</v>
      </c>
      <c r="F5" s="4" t="s">
        <v>186</v>
      </c>
      <c r="G5" s="4" t="n">
        <v>10</v>
      </c>
      <c r="H5" s="4" t="n">
        <v>150</v>
      </c>
      <c r="I5" s="4" t="n">
        <v>145</v>
      </c>
      <c r="J5" s="4" t="n">
        <v>155</v>
      </c>
      <c r="K5" s="4" t="s">
        <v>187</v>
      </c>
      <c r="L5" s="4" t="s">
        <v>97</v>
      </c>
      <c r="M5" s="4"/>
      <c r="N5" s="4" t="s">
        <v>188</v>
      </c>
    </row>
    <row r="6" customFormat="false" ht="15" hidden="false" customHeight="false" outlineLevel="0" collapsed="false">
      <c r="A6" s="4" t="s">
        <v>119</v>
      </c>
      <c r="B6" s="4" t="s">
        <v>189</v>
      </c>
      <c r="C6" s="4" t="s">
        <v>190</v>
      </c>
      <c r="D6" s="4" t="s">
        <v>191</v>
      </c>
      <c r="E6" s="4" t="s">
        <v>185</v>
      </c>
      <c r="F6" s="4" t="s">
        <v>186</v>
      </c>
      <c r="G6" s="4" t="n">
        <v>5</v>
      </c>
      <c r="H6" s="4" t="n">
        <v>0.8</v>
      </c>
      <c r="I6" s="4"/>
      <c r="J6" s="4" t="n">
        <v>1.5</v>
      </c>
      <c r="K6" s="4" t="s">
        <v>187</v>
      </c>
      <c r="L6" s="4" t="s">
        <v>97</v>
      </c>
      <c r="M6" s="4"/>
      <c r="N6" s="4" t="s">
        <v>188</v>
      </c>
    </row>
    <row r="7" customFormat="false" ht="15" hidden="false" customHeight="false" outlineLevel="0" collapsed="false">
      <c r="A7" s="4" t="s">
        <v>119</v>
      </c>
      <c r="B7" s="4" t="s">
        <v>192</v>
      </c>
      <c r="C7" s="4" t="s">
        <v>193</v>
      </c>
      <c r="D7" s="4" t="s">
        <v>194</v>
      </c>
      <c r="E7" s="4" t="s">
        <v>185</v>
      </c>
      <c r="F7" s="4" t="s">
        <v>186</v>
      </c>
      <c r="G7" s="4" t="n">
        <v>5</v>
      </c>
      <c r="H7" s="4" t="n">
        <v>5</v>
      </c>
      <c r="I7" s="4" t="n">
        <v>4</v>
      </c>
      <c r="J7" s="4" t="n">
        <v>6</v>
      </c>
      <c r="K7" s="4" t="s">
        <v>187</v>
      </c>
      <c r="L7" s="4" t="s">
        <v>97</v>
      </c>
      <c r="M7" s="4"/>
      <c r="N7" s="4" t="s">
        <v>188</v>
      </c>
    </row>
    <row r="8" customFormat="false" ht="15" hidden="false" customHeight="false" outlineLevel="0" collapsed="false">
      <c r="A8" s="4" t="s">
        <v>119</v>
      </c>
      <c r="B8" s="4" t="s">
        <v>195</v>
      </c>
      <c r="C8" s="4" t="s">
        <v>196</v>
      </c>
      <c r="D8" s="4" t="s">
        <v>184</v>
      </c>
      <c r="E8" s="4" t="s">
        <v>185</v>
      </c>
      <c r="F8" s="4" t="s">
        <v>186</v>
      </c>
      <c r="G8" s="4" t="n">
        <v>10</v>
      </c>
      <c r="H8" s="4" t="n">
        <v>90</v>
      </c>
      <c r="I8" s="4" t="n">
        <v>85</v>
      </c>
      <c r="J8" s="4" t="n">
        <v>95</v>
      </c>
      <c r="K8" s="4" t="s">
        <v>187</v>
      </c>
      <c r="L8" s="4"/>
      <c r="M8" s="4"/>
      <c r="N8" s="4" t="s">
        <v>188</v>
      </c>
    </row>
    <row r="9" customFormat="false" ht="15" hidden="false" customHeight="false" outlineLevel="0" collapsed="false">
      <c r="A9" s="4" t="s">
        <v>119</v>
      </c>
      <c r="B9" s="4" t="s">
        <v>197</v>
      </c>
      <c r="C9" s="4" t="s">
        <v>198</v>
      </c>
      <c r="D9" s="4" t="s">
        <v>184</v>
      </c>
      <c r="E9" s="4" t="s">
        <v>185</v>
      </c>
      <c r="F9" s="4" t="s">
        <v>186</v>
      </c>
      <c r="G9" s="4" t="n">
        <v>10</v>
      </c>
      <c r="H9" s="4" t="n">
        <v>50</v>
      </c>
      <c r="I9" s="4" t="n">
        <v>45</v>
      </c>
      <c r="J9" s="4" t="n">
        <v>55</v>
      </c>
      <c r="K9" s="4" t="s">
        <v>187</v>
      </c>
      <c r="L9" s="4"/>
      <c r="M9" s="4"/>
      <c r="N9" s="4" t="s">
        <v>188</v>
      </c>
    </row>
    <row r="10" customFormat="false" ht="15" hidden="false" customHeight="false" outlineLevel="0" collapsed="false">
      <c r="A10" s="4" t="s">
        <v>119</v>
      </c>
      <c r="B10" s="4" t="s">
        <v>199</v>
      </c>
      <c r="C10" s="4" t="s">
        <v>200</v>
      </c>
      <c r="D10" s="4" t="s">
        <v>201</v>
      </c>
      <c r="E10" s="4" t="s">
        <v>185</v>
      </c>
      <c r="F10" s="4" t="s">
        <v>186</v>
      </c>
      <c r="G10" s="4" t="n">
        <v>5</v>
      </c>
      <c r="H10" s="4" t="n">
        <v>300</v>
      </c>
      <c r="I10" s="4" t="n">
        <v>280</v>
      </c>
      <c r="J10" s="4" t="n">
        <v>320</v>
      </c>
      <c r="K10" s="4" t="s">
        <v>187</v>
      </c>
      <c r="L10" s="4"/>
      <c r="M10" s="4"/>
      <c r="N10" s="4" t="s">
        <v>188</v>
      </c>
    </row>
    <row r="11" customFormat="false" ht="15" hidden="false" customHeight="false" outlineLevel="0" collapsed="false">
      <c r="A11" s="4" t="s">
        <v>119</v>
      </c>
      <c r="B11" s="4" t="s">
        <v>202</v>
      </c>
      <c r="C11" s="4" t="s">
        <v>203</v>
      </c>
      <c r="D11" s="4" t="s">
        <v>184</v>
      </c>
      <c r="E11" s="4" t="s">
        <v>185</v>
      </c>
      <c r="F11" s="4" t="s">
        <v>186</v>
      </c>
      <c r="G11" s="4" t="n">
        <v>30</v>
      </c>
      <c r="H11" s="4" t="n">
        <v>-10</v>
      </c>
      <c r="I11" s="4" t="n">
        <v>-15</v>
      </c>
      <c r="J11" s="4" t="n">
        <v>-5</v>
      </c>
      <c r="K11" s="4" t="s">
        <v>187</v>
      </c>
      <c r="L11" s="4"/>
      <c r="M11" s="4"/>
      <c r="N11" s="4" t="s">
        <v>188</v>
      </c>
    </row>
    <row r="12" customFormat="false" ht="15" hidden="false" customHeight="false" outlineLevel="0" collapsed="false">
      <c r="A12" s="4" t="s">
        <v>127</v>
      </c>
      <c r="B12" s="4" t="s">
        <v>182</v>
      </c>
      <c r="C12" s="4" t="s">
        <v>183</v>
      </c>
      <c r="D12" s="4" t="s">
        <v>184</v>
      </c>
      <c r="E12" s="4" t="s">
        <v>185</v>
      </c>
      <c r="F12" s="4" t="s">
        <v>186</v>
      </c>
      <c r="G12" s="4" t="n">
        <v>10</v>
      </c>
      <c r="H12" s="4" t="n">
        <v>175</v>
      </c>
      <c r="I12" s="4" t="n">
        <v>170</v>
      </c>
      <c r="J12" s="4" t="n">
        <v>180</v>
      </c>
      <c r="K12" s="4" t="s">
        <v>187</v>
      </c>
      <c r="L12" s="4" t="s">
        <v>97</v>
      </c>
      <c r="M12" s="4"/>
      <c r="N12" s="4" t="s">
        <v>188</v>
      </c>
    </row>
    <row r="13" customFormat="false" ht="15" hidden="false" customHeight="false" outlineLevel="0" collapsed="false">
      <c r="A13" s="4" t="s">
        <v>127</v>
      </c>
      <c r="B13" s="4" t="s">
        <v>189</v>
      </c>
      <c r="C13" s="4" t="s">
        <v>190</v>
      </c>
      <c r="D13" s="4" t="s">
        <v>191</v>
      </c>
      <c r="E13" s="4" t="s">
        <v>185</v>
      </c>
      <c r="F13" s="4" t="s">
        <v>186</v>
      </c>
      <c r="G13" s="4" t="n">
        <v>5</v>
      </c>
      <c r="H13" s="4" t="n">
        <v>0.02</v>
      </c>
      <c r="I13" s="4"/>
      <c r="J13" s="4" t="n">
        <v>0.05</v>
      </c>
      <c r="K13" s="4" t="s">
        <v>187</v>
      </c>
      <c r="L13" s="4" t="s">
        <v>97</v>
      </c>
      <c r="M13" s="4"/>
      <c r="N13" s="4" t="s">
        <v>188</v>
      </c>
    </row>
    <row r="14" customFormat="false" ht="15" hidden="false" customHeight="false" outlineLevel="0" collapsed="false">
      <c r="A14" s="4" t="s">
        <v>127</v>
      </c>
      <c r="B14" s="4" t="s">
        <v>192</v>
      </c>
      <c r="C14" s="4" t="s">
        <v>193</v>
      </c>
      <c r="D14" s="4" t="s">
        <v>194</v>
      </c>
      <c r="E14" s="4" t="s">
        <v>185</v>
      </c>
      <c r="F14" s="4" t="s">
        <v>186</v>
      </c>
      <c r="G14" s="4" t="n">
        <v>5</v>
      </c>
      <c r="H14" s="4" t="n">
        <v>3.5</v>
      </c>
      <c r="I14" s="4" t="n">
        <v>3</v>
      </c>
      <c r="J14" s="4" t="n">
        <v>4</v>
      </c>
      <c r="K14" s="4" t="s">
        <v>187</v>
      </c>
      <c r="L14" s="4" t="s">
        <v>97</v>
      </c>
      <c r="M14" s="4"/>
      <c r="N14" s="4" t="s">
        <v>188</v>
      </c>
    </row>
    <row r="15" customFormat="false" ht="15" hidden="false" customHeight="false" outlineLevel="0" collapsed="false">
      <c r="A15" s="4" t="s">
        <v>127</v>
      </c>
      <c r="B15" s="4" t="s">
        <v>195</v>
      </c>
      <c r="C15" s="4" t="s">
        <v>196</v>
      </c>
      <c r="D15" s="4" t="s">
        <v>184</v>
      </c>
      <c r="E15" s="4" t="s">
        <v>185</v>
      </c>
      <c r="F15" s="4" t="s">
        <v>186</v>
      </c>
      <c r="G15" s="4" t="n">
        <v>10</v>
      </c>
      <c r="H15" s="4" t="n">
        <v>100</v>
      </c>
      <c r="I15" s="4" t="n">
        <v>95</v>
      </c>
      <c r="J15" s="4" t="n">
        <v>105</v>
      </c>
      <c r="K15" s="4" t="s">
        <v>187</v>
      </c>
      <c r="L15" s="4"/>
      <c r="M15" s="4"/>
      <c r="N15" s="4" t="s">
        <v>188</v>
      </c>
    </row>
    <row r="16" customFormat="false" ht="15" hidden="false" customHeight="false" outlineLevel="0" collapsed="false">
      <c r="A16" s="4" t="s">
        <v>127</v>
      </c>
      <c r="B16" s="4" t="s">
        <v>197</v>
      </c>
      <c r="C16" s="4" t="s">
        <v>198</v>
      </c>
      <c r="D16" s="4" t="s">
        <v>184</v>
      </c>
      <c r="E16" s="4" t="s">
        <v>185</v>
      </c>
      <c r="F16" s="4" t="s">
        <v>186</v>
      </c>
      <c r="G16" s="4" t="n">
        <v>10</v>
      </c>
      <c r="H16" s="4" t="n">
        <v>70</v>
      </c>
      <c r="I16" s="4" t="n">
        <v>65</v>
      </c>
      <c r="J16" s="4" t="n">
        <v>75</v>
      </c>
      <c r="K16" s="4" t="s">
        <v>187</v>
      </c>
      <c r="L16" s="4"/>
      <c r="M16" s="4"/>
      <c r="N16" s="4" t="s">
        <v>188</v>
      </c>
    </row>
    <row r="17" customFormat="false" ht="15" hidden="false" customHeight="false" outlineLevel="0" collapsed="false">
      <c r="A17" s="4" t="s">
        <v>127</v>
      </c>
      <c r="B17" s="4" t="s">
        <v>199</v>
      </c>
      <c r="C17" s="4" t="s">
        <v>200</v>
      </c>
      <c r="D17" s="4" t="s">
        <v>201</v>
      </c>
      <c r="E17" s="4" t="s">
        <v>185</v>
      </c>
      <c r="F17" s="4" t="s">
        <v>186</v>
      </c>
      <c r="G17" s="4" t="n">
        <v>5</v>
      </c>
      <c r="H17" s="4" t="n">
        <v>300</v>
      </c>
      <c r="I17" s="4" t="n">
        <v>280</v>
      </c>
      <c r="J17" s="4" t="n">
        <v>320</v>
      </c>
      <c r="K17" s="4" t="s">
        <v>187</v>
      </c>
      <c r="L17" s="4"/>
      <c r="M17" s="4"/>
      <c r="N17" s="4" t="s">
        <v>188</v>
      </c>
    </row>
    <row r="18" customFormat="false" ht="15" hidden="false" customHeight="false" outlineLevel="0" collapsed="false">
      <c r="A18" s="4" t="s">
        <v>127</v>
      </c>
      <c r="B18" s="4" t="s">
        <v>202</v>
      </c>
      <c r="C18" s="4" t="s">
        <v>203</v>
      </c>
      <c r="D18" s="4" t="s">
        <v>184</v>
      </c>
      <c r="E18" s="4" t="s">
        <v>185</v>
      </c>
      <c r="F18" s="4" t="s">
        <v>186</v>
      </c>
      <c r="G18" s="4" t="n">
        <v>30</v>
      </c>
      <c r="H18" s="4" t="n">
        <v>-15</v>
      </c>
      <c r="I18" s="4" t="n">
        <v>-20</v>
      </c>
      <c r="J18" s="4" t="n">
        <v>-10</v>
      </c>
      <c r="K18" s="4" t="s">
        <v>187</v>
      </c>
      <c r="L18" s="4"/>
      <c r="M18" s="4"/>
      <c r="N18" s="4" t="s">
        <v>188</v>
      </c>
    </row>
    <row r="19" customFormat="false" ht="15" hidden="false" customHeight="false" outlineLevel="0" collapsed="false">
      <c r="A19" s="4" t="s">
        <v>133</v>
      </c>
      <c r="B19" s="4" t="s">
        <v>204</v>
      </c>
      <c r="C19" s="4" t="s">
        <v>205</v>
      </c>
      <c r="D19" s="4" t="s">
        <v>184</v>
      </c>
      <c r="E19" s="4" t="s">
        <v>185</v>
      </c>
      <c r="F19" s="4" t="s">
        <v>206</v>
      </c>
      <c r="G19" s="4" t="n">
        <v>10</v>
      </c>
      <c r="H19" s="4"/>
      <c r="I19" s="4"/>
      <c r="J19" s="4"/>
      <c r="K19" s="4" t="s">
        <v>207</v>
      </c>
      <c r="L19" s="4" t="s">
        <v>97</v>
      </c>
      <c r="M19" s="4" t="s">
        <v>97</v>
      </c>
      <c r="N19" s="4" t="s">
        <v>188</v>
      </c>
    </row>
    <row r="20" customFormat="false" ht="15" hidden="false" customHeight="false" outlineLevel="0" collapsed="false">
      <c r="A20" s="4" t="s">
        <v>133</v>
      </c>
      <c r="B20" s="4" t="s">
        <v>208</v>
      </c>
      <c r="C20" s="4" t="s">
        <v>209</v>
      </c>
      <c r="D20" s="4" t="s">
        <v>184</v>
      </c>
      <c r="E20" s="4" t="s">
        <v>185</v>
      </c>
      <c r="F20" s="4" t="s">
        <v>206</v>
      </c>
      <c r="G20" s="4" t="n">
        <v>10</v>
      </c>
      <c r="H20" s="4"/>
      <c r="I20" s="4"/>
      <c r="J20" s="4"/>
      <c r="K20" s="4" t="s">
        <v>207</v>
      </c>
      <c r="L20" s="4" t="s">
        <v>97</v>
      </c>
      <c r="M20" s="4"/>
      <c r="N20" s="4" t="s">
        <v>188</v>
      </c>
    </row>
    <row r="21" customFormat="false" ht="15" hidden="false" customHeight="false" outlineLevel="0" collapsed="false">
      <c r="A21" s="4" t="s">
        <v>133</v>
      </c>
      <c r="B21" s="4" t="s">
        <v>210</v>
      </c>
      <c r="C21" s="4" t="s">
        <v>211</v>
      </c>
      <c r="D21" s="4" t="s">
        <v>201</v>
      </c>
      <c r="E21" s="4" t="s">
        <v>185</v>
      </c>
      <c r="F21" s="4" t="s">
        <v>206</v>
      </c>
      <c r="G21" s="4" t="n">
        <v>10</v>
      </c>
      <c r="H21" s="4" t="n">
        <v>80</v>
      </c>
      <c r="I21" s="4" t="n">
        <v>60</v>
      </c>
      <c r="J21" s="4" t="n">
        <v>120</v>
      </c>
      <c r="K21" s="4" t="s">
        <v>187</v>
      </c>
      <c r="L21" s="4"/>
      <c r="M21" s="4"/>
      <c r="N21" s="4" t="s">
        <v>188</v>
      </c>
    </row>
    <row r="22" customFormat="false" ht="15" hidden="false" customHeight="false" outlineLevel="0" collapsed="false">
      <c r="A22" s="4" t="s">
        <v>133</v>
      </c>
      <c r="B22" s="4" t="s">
        <v>212</v>
      </c>
      <c r="C22" s="4" t="s">
        <v>213</v>
      </c>
      <c r="D22" s="4" t="s">
        <v>184</v>
      </c>
      <c r="E22" s="4" t="s">
        <v>214</v>
      </c>
      <c r="F22" s="4" t="s">
        <v>186</v>
      </c>
      <c r="G22" s="4" t="n">
        <v>0</v>
      </c>
      <c r="H22" s="4" t="n">
        <v>-20</v>
      </c>
      <c r="I22" s="4"/>
      <c r="J22" s="4" t="n">
        <v>-18</v>
      </c>
      <c r="K22" s="4" t="s">
        <v>215</v>
      </c>
      <c r="L22" s="4"/>
      <c r="M22" s="4" t="s">
        <v>97</v>
      </c>
      <c r="N22" s="4" t="s">
        <v>216</v>
      </c>
    </row>
    <row r="23" customFormat="false" ht="15" hidden="false" customHeight="false" outlineLevel="0" collapsed="false">
      <c r="A23" s="4" t="s">
        <v>140</v>
      </c>
      <c r="B23" s="4" t="s">
        <v>204</v>
      </c>
      <c r="C23" s="4" t="s">
        <v>205</v>
      </c>
      <c r="D23" s="4" t="s">
        <v>184</v>
      </c>
      <c r="E23" s="4" t="s">
        <v>185</v>
      </c>
      <c r="F23" s="4" t="s">
        <v>206</v>
      </c>
      <c r="G23" s="4" t="n">
        <v>10</v>
      </c>
      <c r="H23" s="4"/>
      <c r="I23" s="4"/>
      <c r="J23" s="4"/>
      <c r="K23" s="4" t="s">
        <v>207</v>
      </c>
      <c r="L23" s="4" t="s">
        <v>97</v>
      </c>
      <c r="M23" s="4" t="s">
        <v>97</v>
      </c>
      <c r="N23" s="4" t="s">
        <v>188</v>
      </c>
    </row>
    <row r="24" customFormat="false" ht="15" hidden="false" customHeight="false" outlineLevel="0" collapsed="false">
      <c r="A24" s="4" t="s">
        <v>140</v>
      </c>
      <c r="B24" s="4" t="s">
        <v>208</v>
      </c>
      <c r="C24" s="4" t="s">
        <v>209</v>
      </c>
      <c r="D24" s="4" t="s">
        <v>184</v>
      </c>
      <c r="E24" s="4" t="s">
        <v>185</v>
      </c>
      <c r="F24" s="4" t="s">
        <v>206</v>
      </c>
      <c r="G24" s="4" t="n">
        <v>10</v>
      </c>
      <c r="H24" s="4"/>
      <c r="I24" s="4"/>
      <c r="J24" s="4"/>
      <c r="K24" s="4" t="s">
        <v>207</v>
      </c>
      <c r="L24" s="4" t="s">
        <v>97</v>
      </c>
      <c r="M24" s="4"/>
      <c r="N24" s="4" t="s">
        <v>188</v>
      </c>
    </row>
    <row r="25" customFormat="false" ht="15" hidden="false" customHeight="false" outlineLevel="0" collapsed="false">
      <c r="A25" s="4" t="s">
        <v>140</v>
      </c>
      <c r="B25" s="4" t="s">
        <v>210</v>
      </c>
      <c r="C25" s="4" t="s">
        <v>211</v>
      </c>
      <c r="D25" s="4" t="s">
        <v>201</v>
      </c>
      <c r="E25" s="4" t="s">
        <v>185</v>
      </c>
      <c r="F25" s="4" t="s">
        <v>206</v>
      </c>
      <c r="G25" s="4" t="n">
        <v>10</v>
      </c>
      <c r="H25" s="4" t="n">
        <v>80</v>
      </c>
      <c r="I25" s="4" t="n">
        <v>60</v>
      </c>
      <c r="J25" s="4" t="n">
        <v>120</v>
      </c>
      <c r="K25" s="4" t="s">
        <v>187</v>
      </c>
      <c r="L25" s="4"/>
      <c r="M25" s="4"/>
      <c r="N25" s="4" t="s">
        <v>188</v>
      </c>
    </row>
    <row r="26" customFormat="false" ht="15" hidden="false" customHeight="false" outlineLevel="0" collapsed="false">
      <c r="A26" s="4" t="s">
        <v>140</v>
      </c>
      <c r="B26" s="4" t="s">
        <v>212</v>
      </c>
      <c r="C26" s="4" t="s">
        <v>213</v>
      </c>
      <c r="D26" s="4" t="s">
        <v>184</v>
      </c>
      <c r="E26" s="4" t="s">
        <v>214</v>
      </c>
      <c r="F26" s="4" t="s">
        <v>186</v>
      </c>
      <c r="G26" s="4" t="n">
        <v>0</v>
      </c>
      <c r="H26" s="4" t="n">
        <v>-20</v>
      </c>
      <c r="I26" s="4"/>
      <c r="J26" s="4" t="n">
        <v>-18</v>
      </c>
      <c r="K26" s="4" t="s">
        <v>215</v>
      </c>
      <c r="L26" s="4"/>
      <c r="M26" s="4" t="s">
        <v>97</v>
      </c>
      <c r="N26" s="4" t="s">
        <v>216</v>
      </c>
    </row>
    <row r="27" customFormat="false" ht="15" hidden="false" customHeight="false" outlineLevel="0" collapsed="false">
      <c r="A27" s="4" t="s">
        <v>142</v>
      </c>
      <c r="B27" s="4" t="s">
        <v>204</v>
      </c>
      <c r="C27" s="4" t="s">
        <v>205</v>
      </c>
      <c r="D27" s="4" t="s">
        <v>184</v>
      </c>
      <c r="E27" s="4" t="s">
        <v>185</v>
      </c>
      <c r="F27" s="4" t="s">
        <v>206</v>
      </c>
      <c r="G27" s="4" t="n">
        <v>10</v>
      </c>
      <c r="H27" s="4"/>
      <c r="I27" s="4"/>
      <c r="J27" s="4"/>
      <c r="K27" s="4" t="s">
        <v>207</v>
      </c>
      <c r="L27" s="4" t="s">
        <v>97</v>
      </c>
      <c r="M27" s="4" t="s">
        <v>97</v>
      </c>
      <c r="N27" s="4" t="s">
        <v>188</v>
      </c>
    </row>
    <row r="28" customFormat="false" ht="15" hidden="false" customHeight="false" outlineLevel="0" collapsed="false">
      <c r="A28" s="4" t="s">
        <v>142</v>
      </c>
      <c r="B28" s="4" t="s">
        <v>208</v>
      </c>
      <c r="C28" s="4" t="s">
        <v>209</v>
      </c>
      <c r="D28" s="4" t="s">
        <v>184</v>
      </c>
      <c r="E28" s="4" t="s">
        <v>185</v>
      </c>
      <c r="F28" s="4" t="s">
        <v>206</v>
      </c>
      <c r="G28" s="4" t="n">
        <v>10</v>
      </c>
      <c r="H28" s="4"/>
      <c r="I28" s="4"/>
      <c r="J28" s="4"/>
      <c r="K28" s="4" t="s">
        <v>207</v>
      </c>
      <c r="L28" s="4" t="s">
        <v>97</v>
      </c>
      <c r="M28" s="4"/>
      <c r="N28" s="4" t="s">
        <v>188</v>
      </c>
    </row>
    <row r="29" customFormat="false" ht="15" hidden="false" customHeight="false" outlineLevel="0" collapsed="false">
      <c r="A29" s="4" t="s">
        <v>142</v>
      </c>
      <c r="B29" s="4" t="s">
        <v>210</v>
      </c>
      <c r="C29" s="4" t="s">
        <v>211</v>
      </c>
      <c r="D29" s="4" t="s">
        <v>201</v>
      </c>
      <c r="E29" s="4" t="s">
        <v>185</v>
      </c>
      <c r="F29" s="4" t="s">
        <v>206</v>
      </c>
      <c r="G29" s="4" t="n">
        <v>10</v>
      </c>
      <c r="H29" s="4" t="n">
        <v>80</v>
      </c>
      <c r="I29" s="4" t="n">
        <v>60</v>
      </c>
      <c r="J29" s="4" t="n">
        <v>120</v>
      </c>
      <c r="K29" s="4" t="s">
        <v>187</v>
      </c>
      <c r="L29" s="4"/>
      <c r="M29" s="4"/>
      <c r="N29" s="4" t="s">
        <v>188</v>
      </c>
    </row>
    <row r="30" customFormat="false" ht="15" hidden="false" customHeight="false" outlineLevel="0" collapsed="false">
      <c r="A30" s="4" t="s">
        <v>142</v>
      </c>
      <c r="B30" s="4" t="s">
        <v>212</v>
      </c>
      <c r="C30" s="4" t="s">
        <v>213</v>
      </c>
      <c r="D30" s="4" t="s">
        <v>184</v>
      </c>
      <c r="E30" s="4" t="s">
        <v>214</v>
      </c>
      <c r="F30" s="4" t="s">
        <v>186</v>
      </c>
      <c r="G30" s="4" t="n">
        <v>0</v>
      </c>
      <c r="H30" s="4" t="n">
        <v>-20</v>
      </c>
      <c r="I30" s="4"/>
      <c r="J30" s="4" t="n">
        <v>-18</v>
      </c>
      <c r="K30" s="4" t="s">
        <v>215</v>
      </c>
      <c r="L30" s="4"/>
      <c r="M30" s="4" t="s">
        <v>97</v>
      </c>
      <c r="N30" s="4" t="s">
        <v>216</v>
      </c>
    </row>
    <row r="31" customFormat="false" ht="15" hidden="false" customHeight="false" outlineLevel="0" collapsed="false">
      <c r="A31" s="4" t="s">
        <v>144</v>
      </c>
      <c r="B31" s="4" t="s">
        <v>204</v>
      </c>
      <c r="C31" s="4" t="s">
        <v>205</v>
      </c>
      <c r="D31" s="4" t="s">
        <v>184</v>
      </c>
      <c r="E31" s="4" t="s">
        <v>185</v>
      </c>
      <c r="F31" s="4" t="s">
        <v>206</v>
      </c>
      <c r="G31" s="4" t="n">
        <v>10</v>
      </c>
      <c r="H31" s="4"/>
      <c r="I31" s="4"/>
      <c r="J31" s="4"/>
      <c r="K31" s="4" t="s">
        <v>207</v>
      </c>
      <c r="L31" s="4" t="s">
        <v>97</v>
      </c>
      <c r="M31" s="4" t="s">
        <v>97</v>
      </c>
      <c r="N31" s="4" t="s">
        <v>188</v>
      </c>
    </row>
    <row r="32" customFormat="false" ht="15" hidden="false" customHeight="false" outlineLevel="0" collapsed="false">
      <c r="A32" s="4" t="s">
        <v>144</v>
      </c>
      <c r="B32" s="4" t="s">
        <v>208</v>
      </c>
      <c r="C32" s="4" t="s">
        <v>209</v>
      </c>
      <c r="D32" s="4" t="s">
        <v>184</v>
      </c>
      <c r="E32" s="4" t="s">
        <v>185</v>
      </c>
      <c r="F32" s="4" t="s">
        <v>206</v>
      </c>
      <c r="G32" s="4" t="n">
        <v>10</v>
      </c>
      <c r="H32" s="4"/>
      <c r="I32" s="4"/>
      <c r="J32" s="4"/>
      <c r="K32" s="4" t="s">
        <v>207</v>
      </c>
      <c r="L32" s="4" t="s">
        <v>97</v>
      </c>
      <c r="M32" s="4"/>
      <c r="N32" s="4" t="s">
        <v>188</v>
      </c>
    </row>
    <row r="33" customFormat="false" ht="15" hidden="false" customHeight="false" outlineLevel="0" collapsed="false">
      <c r="A33" s="4" t="s">
        <v>144</v>
      </c>
      <c r="B33" s="4" t="s">
        <v>210</v>
      </c>
      <c r="C33" s="4" t="s">
        <v>211</v>
      </c>
      <c r="D33" s="4" t="s">
        <v>201</v>
      </c>
      <c r="E33" s="4" t="s">
        <v>185</v>
      </c>
      <c r="F33" s="4" t="s">
        <v>206</v>
      </c>
      <c r="G33" s="4" t="n">
        <v>10</v>
      </c>
      <c r="H33" s="4" t="n">
        <v>80</v>
      </c>
      <c r="I33" s="4" t="n">
        <v>60</v>
      </c>
      <c r="J33" s="4" t="n">
        <v>120</v>
      </c>
      <c r="K33" s="4" t="s">
        <v>187</v>
      </c>
      <c r="L33" s="4"/>
      <c r="M33" s="4"/>
      <c r="N33" s="4" t="s">
        <v>188</v>
      </c>
    </row>
    <row r="34" customFormat="false" ht="15" hidden="false" customHeight="false" outlineLevel="0" collapsed="false">
      <c r="A34" s="4" t="s">
        <v>144</v>
      </c>
      <c r="B34" s="4" t="s">
        <v>212</v>
      </c>
      <c r="C34" s="4" t="s">
        <v>213</v>
      </c>
      <c r="D34" s="4" t="s">
        <v>184</v>
      </c>
      <c r="E34" s="4" t="s">
        <v>214</v>
      </c>
      <c r="F34" s="4" t="s">
        <v>186</v>
      </c>
      <c r="G34" s="4" t="n">
        <v>0</v>
      </c>
      <c r="H34" s="4" t="n">
        <v>-20</v>
      </c>
      <c r="I34" s="4"/>
      <c r="J34" s="4" t="n">
        <v>-18</v>
      </c>
      <c r="K34" s="4" t="s">
        <v>215</v>
      </c>
      <c r="L34" s="4"/>
      <c r="M34" s="4" t="s">
        <v>97</v>
      </c>
      <c r="N34" s="4" t="s">
        <v>216</v>
      </c>
    </row>
    <row r="35" customFormat="false" ht="15" hidden="false" customHeight="false" outlineLevel="0" collapsed="false">
      <c r="A35" s="4" t="s">
        <v>146</v>
      </c>
      <c r="B35" s="4" t="s">
        <v>204</v>
      </c>
      <c r="C35" s="4" t="s">
        <v>205</v>
      </c>
      <c r="D35" s="4" t="s">
        <v>184</v>
      </c>
      <c r="E35" s="4" t="s">
        <v>185</v>
      </c>
      <c r="F35" s="4" t="s">
        <v>206</v>
      </c>
      <c r="G35" s="4" t="n">
        <v>10</v>
      </c>
      <c r="H35" s="4"/>
      <c r="I35" s="4"/>
      <c r="J35" s="4"/>
      <c r="K35" s="4" t="s">
        <v>207</v>
      </c>
      <c r="L35" s="4" t="s">
        <v>97</v>
      </c>
      <c r="M35" s="4" t="s">
        <v>97</v>
      </c>
      <c r="N35" s="4" t="s">
        <v>188</v>
      </c>
    </row>
    <row r="36" customFormat="false" ht="15" hidden="false" customHeight="false" outlineLevel="0" collapsed="false">
      <c r="A36" s="4" t="s">
        <v>146</v>
      </c>
      <c r="B36" s="4" t="s">
        <v>208</v>
      </c>
      <c r="C36" s="4" t="s">
        <v>209</v>
      </c>
      <c r="D36" s="4" t="s">
        <v>184</v>
      </c>
      <c r="E36" s="4" t="s">
        <v>185</v>
      </c>
      <c r="F36" s="4" t="s">
        <v>206</v>
      </c>
      <c r="G36" s="4" t="n">
        <v>10</v>
      </c>
      <c r="H36" s="4"/>
      <c r="I36" s="4"/>
      <c r="J36" s="4"/>
      <c r="K36" s="4" t="s">
        <v>207</v>
      </c>
      <c r="L36" s="4" t="s">
        <v>97</v>
      </c>
      <c r="M36" s="4"/>
      <c r="N36" s="4" t="s">
        <v>188</v>
      </c>
    </row>
    <row r="37" customFormat="false" ht="15" hidden="false" customHeight="false" outlineLevel="0" collapsed="false">
      <c r="A37" s="4" t="s">
        <v>146</v>
      </c>
      <c r="B37" s="4" t="s">
        <v>210</v>
      </c>
      <c r="C37" s="4" t="s">
        <v>211</v>
      </c>
      <c r="D37" s="4" t="s">
        <v>201</v>
      </c>
      <c r="E37" s="4" t="s">
        <v>185</v>
      </c>
      <c r="F37" s="4" t="s">
        <v>206</v>
      </c>
      <c r="G37" s="4" t="n">
        <v>10</v>
      </c>
      <c r="H37" s="4" t="n">
        <v>80</v>
      </c>
      <c r="I37" s="4" t="n">
        <v>60</v>
      </c>
      <c r="J37" s="4" t="n">
        <v>120</v>
      </c>
      <c r="K37" s="4" t="s">
        <v>187</v>
      </c>
      <c r="L37" s="4"/>
      <c r="M37" s="4"/>
      <c r="N37" s="4" t="s">
        <v>188</v>
      </c>
    </row>
    <row r="38" customFormat="false" ht="15" hidden="false" customHeight="false" outlineLevel="0" collapsed="false">
      <c r="A38" s="4" t="s">
        <v>146</v>
      </c>
      <c r="B38" s="4" t="s">
        <v>212</v>
      </c>
      <c r="C38" s="4" t="s">
        <v>213</v>
      </c>
      <c r="D38" s="4" t="s">
        <v>184</v>
      </c>
      <c r="E38" s="4" t="s">
        <v>214</v>
      </c>
      <c r="F38" s="4" t="s">
        <v>186</v>
      </c>
      <c r="G38" s="4" t="n">
        <v>0</v>
      </c>
      <c r="H38" s="4" t="n">
        <v>-20</v>
      </c>
      <c r="I38" s="4"/>
      <c r="J38" s="4" t="n">
        <v>-18</v>
      </c>
      <c r="K38" s="4" t="s">
        <v>215</v>
      </c>
      <c r="L38" s="4"/>
      <c r="M38" s="4" t="s">
        <v>97</v>
      </c>
      <c r="N38" s="4" t="s">
        <v>216</v>
      </c>
    </row>
    <row r="39" customFormat="false" ht="15" hidden="false" customHeight="false" outlineLevel="0" collapsed="false">
      <c r="A39" s="4" t="s">
        <v>148</v>
      </c>
      <c r="B39" s="4" t="s">
        <v>204</v>
      </c>
      <c r="C39" s="4" t="s">
        <v>217</v>
      </c>
      <c r="D39" s="4" t="s">
        <v>184</v>
      </c>
      <c r="E39" s="4" t="s">
        <v>185</v>
      </c>
      <c r="F39" s="4" t="s">
        <v>206</v>
      </c>
      <c r="G39" s="4" t="n">
        <v>1</v>
      </c>
      <c r="H39" s="4"/>
      <c r="I39" s="4"/>
      <c r="J39" s="4"/>
      <c r="K39" s="4" t="s">
        <v>207</v>
      </c>
      <c r="L39" s="4" t="s">
        <v>97</v>
      </c>
      <c r="M39" s="4" t="s">
        <v>97</v>
      </c>
      <c r="N39" s="4" t="s">
        <v>188</v>
      </c>
    </row>
    <row r="40" customFormat="false" ht="15" hidden="false" customHeight="false" outlineLevel="0" collapsed="false">
      <c r="A40" s="4" t="s">
        <v>148</v>
      </c>
      <c r="B40" s="4" t="s">
        <v>218</v>
      </c>
      <c r="C40" s="4" t="s">
        <v>219</v>
      </c>
      <c r="D40" s="4" t="s">
        <v>184</v>
      </c>
      <c r="E40" s="4" t="s">
        <v>214</v>
      </c>
      <c r="F40" s="4" t="s">
        <v>186</v>
      </c>
      <c r="G40" s="4" t="n">
        <v>0</v>
      </c>
      <c r="H40" s="4" t="n">
        <v>52.5</v>
      </c>
      <c r="I40" s="4" t="n">
        <v>50</v>
      </c>
      <c r="J40" s="4" t="n">
        <v>55</v>
      </c>
      <c r="K40" s="4" t="s">
        <v>215</v>
      </c>
      <c r="L40" s="4"/>
      <c r="M40" s="4" t="s">
        <v>97</v>
      </c>
      <c r="N40" s="4" t="s">
        <v>216</v>
      </c>
    </row>
    <row r="41" customFormat="false" ht="15" hidden="false" customHeight="false" outlineLevel="0" collapsed="false">
      <c r="A41" s="4" t="s">
        <v>148</v>
      </c>
      <c r="B41" s="4" t="s">
        <v>220</v>
      </c>
      <c r="C41" s="4" t="s">
        <v>221</v>
      </c>
      <c r="D41" s="4" t="s">
        <v>184</v>
      </c>
      <c r="E41" s="4" t="s">
        <v>214</v>
      </c>
      <c r="F41" s="4" t="s">
        <v>186</v>
      </c>
      <c r="G41" s="4" t="n">
        <v>0</v>
      </c>
      <c r="H41" s="4" t="n">
        <v>70</v>
      </c>
      <c r="I41" s="4"/>
      <c r="J41" s="4" t="n">
        <v>78</v>
      </c>
      <c r="K41" s="4" t="s">
        <v>215</v>
      </c>
      <c r="L41" s="4"/>
      <c r="M41" s="4"/>
      <c r="N41" s="4" t="s">
        <v>188</v>
      </c>
    </row>
    <row r="42" customFormat="false" ht="15" hidden="false" customHeight="false" outlineLevel="0" collapsed="false">
      <c r="A42" s="4" t="s">
        <v>148</v>
      </c>
      <c r="B42" s="4" t="s">
        <v>222</v>
      </c>
      <c r="C42" s="4" t="s">
        <v>223</v>
      </c>
      <c r="D42" s="4" t="s">
        <v>184</v>
      </c>
      <c r="E42" s="4" t="s">
        <v>185</v>
      </c>
      <c r="F42" s="4" t="s">
        <v>186</v>
      </c>
      <c r="G42" s="4" t="n">
        <v>10</v>
      </c>
      <c r="H42" s="4" t="n">
        <v>90</v>
      </c>
      <c r="I42" s="4" t="n">
        <v>85</v>
      </c>
      <c r="J42" s="4" t="n">
        <v>95</v>
      </c>
      <c r="K42" s="4" t="s">
        <v>215</v>
      </c>
      <c r="L42" s="4"/>
      <c r="M42" s="4" t="s">
        <v>97</v>
      </c>
      <c r="N42" s="4" t="s">
        <v>216</v>
      </c>
    </row>
    <row r="43" customFormat="false" ht="15" hidden="false" customHeight="false" outlineLevel="0" collapsed="false">
      <c r="A43" s="4" t="s">
        <v>148</v>
      </c>
      <c r="B43" s="4" t="s">
        <v>224</v>
      </c>
      <c r="C43" s="4" t="s">
        <v>225</v>
      </c>
      <c r="D43" s="4" t="s">
        <v>226</v>
      </c>
      <c r="E43" s="4" t="s">
        <v>227</v>
      </c>
      <c r="F43" s="4" t="s">
        <v>186</v>
      </c>
      <c r="G43" s="4" t="n">
        <v>0</v>
      </c>
      <c r="H43" s="4" t="n">
        <v>7</v>
      </c>
      <c r="I43" s="4" t="n">
        <v>6.5</v>
      </c>
      <c r="J43" s="4" t="n">
        <v>8</v>
      </c>
      <c r="K43" s="4" t="s">
        <v>215</v>
      </c>
      <c r="L43" s="4"/>
      <c r="M43" s="4"/>
      <c r="N43" s="4" t="s">
        <v>188</v>
      </c>
    </row>
    <row r="44" customFormat="false" ht="15" hidden="false" customHeight="false" outlineLevel="0" collapsed="false">
      <c r="A44" s="4" t="s">
        <v>155</v>
      </c>
      <c r="B44" s="4" t="s">
        <v>204</v>
      </c>
      <c r="C44" s="4" t="s">
        <v>217</v>
      </c>
      <c r="D44" s="4" t="s">
        <v>184</v>
      </c>
      <c r="E44" s="4" t="s">
        <v>185</v>
      </c>
      <c r="F44" s="4" t="s">
        <v>206</v>
      </c>
      <c r="G44" s="4" t="n">
        <v>1</v>
      </c>
      <c r="H44" s="4"/>
      <c r="I44" s="4"/>
      <c r="J44" s="4"/>
      <c r="K44" s="4" t="s">
        <v>207</v>
      </c>
      <c r="L44" s="4" t="s">
        <v>97</v>
      </c>
      <c r="M44" s="4" t="s">
        <v>97</v>
      </c>
      <c r="N44" s="4" t="s">
        <v>188</v>
      </c>
    </row>
    <row r="45" customFormat="false" ht="15" hidden="false" customHeight="false" outlineLevel="0" collapsed="false">
      <c r="A45" s="4" t="s">
        <v>155</v>
      </c>
      <c r="B45" s="4" t="s">
        <v>218</v>
      </c>
      <c r="C45" s="4" t="s">
        <v>219</v>
      </c>
      <c r="D45" s="4" t="s">
        <v>184</v>
      </c>
      <c r="E45" s="4" t="s">
        <v>214</v>
      </c>
      <c r="F45" s="4" t="s">
        <v>186</v>
      </c>
      <c r="G45" s="4" t="n">
        <v>0</v>
      </c>
      <c r="H45" s="4" t="n">
        <v>52.5</v>
      </c>
      <c r="I45" s="4" t="n">
        <v>50</v>
      </c>
      <c r="J45" s="4" t="n">
        <v>55</v>
      </c>
      <c r="K45" s="4" t="s">
        <v>215</v>
      </c>
      <c r="L45" s="4"/>
      <c r="M45" s="4" t="s">
        <v>97</v>
      </c>
      <c r="N45" s="4" t="s">
        <v>216</v>
      </c>
    </row>
    <row r="46" customFormat="false" ht="15" hidden="false" customHeight="false" outlineLevel="0" collapsed="false">
      <c r="A46" s="4" t="s">
        <v>155</v>
      </c>
      <c r="B46" s="4" t="s">
        <v>220</v>
      </c>
      <c r="C46" s="4" t="s">
        <v>221</v>
      </c>
      <c r="D46" s="4" t="s">
        <v>184</v>
      </c>
      <c r="E46" s="4" t="s">
        <v>214</v>
      </c>
      <c r="F46" s="4" t="s">
        <v>186</v>
      </c>
      <c r="G46" s="4" t="n">
        <v>0</v>
      </c>
      <c r="H46" s="4" t="n">
        <v>70</v>
      </c>
      <c r="I46" s="4"/>
      <c r="J46" s="4" t="n">
        <v>78</v>
      </c>
      <c r="K46" s="4" t="s">
        <v>215</v>
      </c>
      <c r="L46" s="4"/>
      <c r="M46" s="4"/>
      <c r="N46" s="4" t="s">
        <v>188</v>
      </c>
    </row>
    <row r="47" customFormat="false" ht="15" hidden="false" customHeight="false" outlineLevel="0" collapsed="false">
      <c r="A47" s="4" t="s">
        <v>155</v>
      </c>
      <c r="B47" s="4" t="s">
        <v>222</v>
      </c>
      <c r="C47" s="4" t="s">
        <v>223</v>
      </c>
      <c r="D47" s="4" t="s">
        <v>184</v>
      </c>
      <c r="E47" s="4" t="s">
        <v>185</v>
      </c>
      <c r="F47" s="4" t="s">
        <v>186</v>
      </c>
      <c r="G47" s="4" t="n">
        <v>10</v>
      </c>
      <c r="H47" s="4" t="n">
        <v>90</v>
      </c>
      <c r="I47" s="4" t="n">
        <v>85</v>
      </c>
      <c r="J47" s="4" t="n">
        <v>95</v>
      </c>
      <c r="K47" s="4" t="s">
        <v>215</v>
      </c>
      <c r="L47" s="4"/>
      <c r="M47" s="4" t="s">
        <v>97</v>
      </c>
      <c r="N47" s="4" t="s">
        <v>216</v>
      </c>
    </row>
    <row r="48" customFormat="false" ht="15" hidden="false" customHeight="false" outlineLevel="0" collapsed="false">
      <c r="A48" s="4" t="s">
        <v>155</v>
      </c>
      <c r="B48" s="4" t="s">
        <v>224</v>
      </c>
      <c r="C48" s="4" t="s">
        <v>225</v>
      </c>
      <c r="D48" s="4" t="s">
        <v>226</v>
      </c>
      <c r="E48" s="4" t="s">
        <v>227</v>
      </c>
      <c r="F48" s="4" t="s">
        <v>186</v>
      </c>
      <c r="G48" s="4" t="n">
        <v>0</v>
      </c>
      <c r="H48" s="4" t="n">
        <v>7</v>
      </c>
      <c r="I48" s="4" t="n">
        <v>6.5</v>
      </c>
      <c r="J48" s="4" t="n">
        <v>8</v>
      </c>
      <c r="K48" s="4" t="s">
        <v>215</v>
      </c>
      <c r="L48" s="4"/>
      <c r="M48" s="4"/>
      <c r="N48" s="4" t="s">
        <v>188</v>
      </c>
    </row>
    <row r="49" customFormat="false" ht="15" hidden="false" customHeight="false" outlineLevel="0" collapsed="false">
      <c r="A49" s="4" t="s">
        <v>93</v>
      </c>
      <c r="B49" s="4" t="s">
        <v>228</v>
      </c>
      <c r="C49" s="4" t="s">
        <v>229</v>
      </c>
      <c r="D49" s="4" t="s">
        <v>226</v>
      </c>
      <c r="E49" s="4" t="s">
        <v>185</v>
      </c>
      <c r="F49" s="4" t="s">
        <v>206</v>
      </c>
      <c r="G49" s="4" t="n">
        <v>10</v>
      </c>
      <c r="H49" s="4" t="n">
        <v>9.6</v>
      </c>
      <c r="I49" s="4" t="n">
        <v>9.3</v>
      </c>
      <c r="J49" s="4" t="n">
        <v>9.9</v>
      </c>
      <c r="K49" s="4" t="s">
        <v>207</v>
      </c>
      <c r="L49" s="4" t="s">
        <v>97</v>
      </c>
      <c r="M49" s="4"/>
      <c r="N49" s="4" t="s">
        <v>188</v>
      </c>
    </row>
    <row r="50" customFormat="false" ht="15" hidden="false" customHeight="false" outlineLevel="0" collapsed="false">
      <c r="A50" s="4" t="s">
        <v>93</v>
      </c>
      <c r="B50" s="4" t="s">
        <v>204</v>
      </c>
      <c r="C50" s="4" t="s">
        <v>205</v>
      </c>
      <c r="D50" s="4" t="s">
        <v>184</v>
      </c>
      <c r="E50" s="4" t="s">
        <v>185</v>
      </c>
      <c r="F50" s="4" t="s">
        <v>206</v>
      </c>
      <c r="G50" s="4" t="n">
        <v>10</v>
      </c>
      <c r="H50" s="4" t="n">
        <v>5</v>
      </c>
      <c r="I50" s="4" t="n">
        <v>2</v>
      </c>
      <c r="J50" s="4" t="n">
        <v>8</v>
      </c>
      <c r="K50" s="4" t="s">
        <v>207</v>
      </c>
      <c r="L50" s="4" t="s">
        <v>97</v>
      </c>
      <c r="M50" s="4"/>
      <c r="N50" s="4" t="s">
        <v>188</v>
      </c>
    </row>
    <row r="51" customFormat="false" ht="15" hidden="false" customHeight="false" outlineLevel="0" collapsed="false">
      <c r="A51" s="4" t="s">
        <v>93</v>
      </c>
      <c r="B51" s="4" t="s">
        <v>230</v>
      </c>
      <c r="C51" s="4" t="s">
        <v>231</v>
      </c>
      <c r="D51" s="4" t="s">
        <v>232</v>
      </c>
      <c r="E51" s="4" t="s">
        <v>185</v>
      </c>
      <c r="F51" s="4" t="s">
        <v>206</v>
      </c>
      <c r="G51" s="4" t="n">
        <v>10</v>
      </c>
      <c r="H51" s="4" t="n">
        <v>12</v>
      </c>
      <c r="I51" s="4" t="n">
        <v>8</v>
      </c>
      <c r="J51" s="4" t="n">
        <v>15</v>
      </c>
      <c r="K51" s="4" t="s">
        <v>207</v>
      </c>
      <c r="L51" s="4" t="s">
        <v>97</v>
      </c>
      <c r="M51" s="4"/>
      <c r="N51" s="4" t="s">
        <v>188</v>
      </c>
    </row>
    <row r="52" customFormat="false" ht="15" hidden="false" customHeight="false" outlineLevel="0" collapsed="false">
      <c r="A52" s="4" t="s">
        <v>93</v>
      </c>
      <c r="B52" s="4" t="s">
        <v>233</v>
      </c>
      <c r="C52" s="4" t="s">
        <v>234</v>
      </c>
      <c r="D52" s="4" t="s">
        <v>226</v>
      </c>
      <c r="E52" s="4" t="s">
        <v>214</v>
      </c>
      <c r="F52" s="4" t="s">
        <v>235</v>
      </c>
      <c r="G52" s="4" t="n">
        <v>0</v>
      </c>
      <c r="H52" s="4" t="n">
        <v>9.6</v>
      </c>
      <c r="I52" s="4" t="n">
        <v>9.3</v>
      </c>
      <c r="J52" s="4" t="n">
        <v>9.9</v>
      </c>
      <c r="K52" s="4" t="s">
        <v>215</v>
      </c>
      <c r="L52" s="4"/>
      <c r="M52" s="4"/>
      <c r="N52" s="4" t="s">
        <v>188</v>
      </c>
    </row>
    <row r="53" customFormat="false" ht="15" hidden="false" customHeight="false" outlineLevel="0" collapsed="false">
      <c r="A53" s="4" t="s">
        <v>93</v>
      </c>
      <c r="B53" s="4" t="s">
        <v>236</v>
      </c>
      <c r="C53" s="4" t="s">
        <v>237</v>
      </c>
      <c r="D53" s="4" t="s">
        <v>238</v>
      </c>
      <c r="E53" s="4" t="s">
        <v>214</v>
      </c>
      <c r="F53" s="4" t="s">
        <v>235</v>
      </c>
      <c r="G53" s="4" t="n">
        <v>0</v>
      </c>
      <c r="H53" s="4" t="n">
        <v>4</v>
      </c>
      <c r="I53" s="4" t="n">
        <v>3.5</v>
      </c>
      <c r="J53" s="4" t="n">
        <v>6</v>
      </c>
      <c r="K53" s="4" t="s">
        <v>215</v>
      </c>
      <c r="L53" s="4"/>
      <c r="M53" s="4"/>
      <c r="N53" s="4" t="s">
        <v>188</v>
      </c>
    </row>
    <row r="54" customFormat="false" ht="15" hidden="false" customHeight="false" outlineLevel="0" collapsed="false">
      <c r="A54" s="4" t="s">
        <v>102</v>
      </c>
      <c r="B54" s="4" t="s">
        <v>228</v>
      </c>
      <c r="C54" s="4" t="s">
        <v>229</v>
      </c>
      <c r="D54" s="4" t="s">
        <v>226</v>
      </c>
      <c r="E54" s="4" t="s">
        <v>185</v>
      </c>
      <c r="F54" s="4" t="s">
        <v>206</v>
      </c>
      <c r="G54" s="4" t="n">
        <v>10</v>
      </c>
      <c r="H54" s="4" t="n">
        <v>9.6</v>
      </c>
      <c r="I54" s="4" t="n">
        <v>9.3</v>
      </c>
      <c r="J54" s="4" t="n">
        <v>9.9</v>
      </c>
      <c r="K54" s="4" t="s">
        <v>207</v>
      </c>
      <c r="L54" s="4" t="s">
        <v>97</v>
      </c>
      <c r="M54" s="4"/>
      <c r="N54" s="4" t="s">
        <v>188</v>
      </c>
    </row>
    <row r="55" customFormat="false" ht="15" hidden="false" customHeight="false" outlineLevel="0" collapsed="false">
      <c r="A55" s="4" t="s">
        <v>102</v>
      </c>
      <c r="B55" s="4" t="s">
        <v>204</v>
      </c>
      <c r="C55" s="4" t="s">
        <v>205</v>
      </c>
      <c r="D55" s="4" t="s">
        <v>184</v>
      </c>
      <c r="E55" s="4" t="s">
        <v>185</v>
      </c>
      <c r="F55" s="4" t="s">
        <v>206</v>
      </c>
      <c r="G55" s="4" t="n">
        <v>10</v>
      </c>
      <c r="H55" s="4" t="n">
        <v>5</v>
      </c>
      <c r="I55" s="4" t="n">
        <v>2</v>
      </c>
      <c r="J55" s="4" t="n">
        <v>8</v>
      </c>
      <c r="K55" s="4" t="s">
        <v>207</v>
      </c>
      <c r="L55" s="4" t="s">
        <v>97</v>
      </c>
      <c r="M55" s="4"/>
      <c r="N55" s="4" t="s">
        <v>188</v>
      </c>
    </row>
    <row r="56" customFormat="false" ht="15" hidden="false" customHeight="false" outlineLevel="0" collapsed="false">
      <c r="A56" s="4" t="s">
        <v>102</v>
      </c>
      <c r="B56" s="4" t="s">
        <v>230</v>
      </c>
      <c r="C56" s="4" t="s">
        <v>231</v>
      </c>
      <c r="D56" s="4" t="s">
        <v>232</v>
      </c>
      <c r="E56" s="4" t="s">
        <v>185</v>
      </c>
      <c r="F56" s="4" t="s">
        <v>206</v>
      </c>
      <c r="G56" s="4" t="n">
        <v>10</v>
      </c>
      <c r="H56" s="4" t="n">
        <v>12</v>
      </c>
      <c r="I56" s="4" t="n">
        <v>8</v>
      </c>
      <c r="J56" s="4" t="n">
        <v>15</v>
      </c>
      <c r="K56" s="4" t="s">
        <v>207</v>
      </c>
      <c r="L56" s="4" t="s">
        <v>97</v>
      </c>
      <c r="M56" s="4"/>
      <c r="N56" s="4" t="s">
        <v>188</v>
      </c>
    </row>
    <row r="57" customFormat="false" ht="15" hidden="false" customHeight="false" outlineLevel="0" collapsed="false">
      <c r="A57" s="4" t="s">
        <v>102</v>
      </c>
      <c r="B57" s="4" t="s">
        <v>233</v>
      </c>
      <c r="C57" s="4" t="s">
        <v>234</v>
      </c>
      <c r="D57" s="4" t="s">
        <v>226</v>
      </c>
      <c r="E57" s="4" t="s">
        <v>214</v>
      </c>
      <c r="F57" s="4" t="s">
        <v>235</v>
      </c>
      <c r="G57" s="4" t="n">
        <v>0</v>
      </c>
      <c r="H57" s="4" t="n">
        <v>9.6</v>
      </c>
      <c r="I57" s="4" t="n">
        <v>9.3</v>
      </c>
      <c r="J57" s="4" t="n">
        <v>9.9</v>
      </c>
      <c r="K57" s="4" t="s">
        <v>215</v>
      </c>
      <c r="L57" s="4"/>
      <c r="M57" s="4"/>
      <c r="N57" s="4" t="s">
        <v>188</v>
      </c>
    </row>
    <row r="58" customFormat="false" ht="15" hidden="false" customHeight="false" outlineLevel="0" collapsed="false">
      <c r="A58" s="4" t="s">
        <v>102</v>
      </c>
      <c r="B58" s="4" t="s">
        <v>236</v>
      </c>
      <c r="C58" s="4" t="s">
        <v>237</v>
      </c>
      <c r="D58" s="4" t="s">
        <v>238</v>
      </c>
      <c r="E58" s="4" t="s">
        <v>214</v>
      </c>
      <c r="F58" s="4" t="s">
        <v>235</v>
      </c>
      <c r="G58" s="4" t="n">
        <v>0</v>
      </c>
      <c r="H58" s="4" t="n">
        <v>4</v>
      </c>
      <c r="I58" s="4" t="n">
        <v>3.5</v>
      </c>
      <c r="J58" s="4" t="n">
        <v>6</v>
      </c>
      <c r="K58" s="4" t="s">
        <v>215</v>
      </c>
      <c r="L58" s="4"/>
      <c r="M58" s="4"/>
      <c r="N58" s="4" t="s">
        <v>188</v>
      </c>
    </row>
    <row r="59" customFormat="false" ht="15" hidden="false" customHeight="false" outlineLevel="0" collapsed="false">
      <c r="A59" s="4" t="s">
        <v>65</v>
      </c>
      <c r="B59" s="4" t="s">
        <v>239</v>
      </c>
      <c r="C59" s="4" t="s">
        <v>240</v>
      </c>
      <c r="D59" s="4" t="s">
        <v>241</v>
      </c>
      <c r="E59" s="4" t="s">
        <v>242</v>
      </c>
      <c r="F59" s="4" t="s">
        <v>206</v>
      </c>
      <c r="G59" s="4" t="n">
        <v>10</v>
      </c>
      <c r="H59" s="4"/>
      <c r="I59" s="4" t="n">
        <v>5</v>
      </c>
      <c r="J59" s="4" t="n">
        <v>95</v>
      </c>
      <c r="K59" s="4" t="s">
        <v>207</v>
      </c>
      <c r="L59" s="4"/>
      <c r="M59" s="4"/>
      <c r="N59" s="4" t="s">
        <v>188</v>
      </c>
    </row>
    <row r="60" customFormat="false" ht="15" hidden="false" customHeight="false" outlineLevel="0" collapsed="false">
      <c r="A60" s="4" t="s">
        <v>65</v>
      </c>
      <c r="B60" s="4" t="s">
        <v>243</v>
      </c>
      <c r="C60" s="4" t="s">
        <v>244</v>
      </c>
      <c r="D60" s="4" t="s">
        <v>184</v>
      </c>
      <c r="E60" s="4" t="s">
        <v>242</v>
      </c>
      <c r="F60" s="4" t="s">
        <v>206</v>
      </c>
      <c r="G60" s="4" t="n">
        <v>10</v>
      </c>
      <c r="H60" s="4" t="n">
        <v>60</v>
      </c>
      <c r="I60" s="4" t="n">
        <v>55</v>
      </c>
      <c r="J60" s="4" t="n">
        <v>65</v>
      </c>
      <c r="K60" s="4" t="s">
        <v>187</v>
      </c>
      <c r="L60" s="4"/>
      <c r="M60" s="4"/>
      <c r="N60" s="4" t="s">
        <v>188</v>
      </c>
    </row>
    <row r="61" customFormat="false" ht="15" hidden="false" customHeight="false" outlineLevel="0" collapsed="false">
      <c r="A61" s="4" t="s">
        <v>65</v>
      </c>
      <c r="B61" s="4" t="s">
        <v>228</v>
      </c>
      <c r="C61" s="4" t="s">
        <v>245</v>
      </c>
      <c r="D61" s="4" t="s">
        <v>226</v>
      </c>
      <c r="E61" s="4" t="s">
        <v>242</v>
      </c>
      <c r="F61" s="4" t="s">
        <v>206</v>
      </c>
      <c r="G61" s="4" t="n">
        <v>30</v>
      </c>
      <c r="H61" s="4" t="n">
        <v>3.5</v>
      </c>
      <c r="I61" s="4" t="n">
        <v>3</v>
      </c>
      <c r="J61" s="4" t="n">
        <v>4</v>
      </c>
      <c r="K61" s="4" t="s">
        <v>187</v>
      </c>
      <c r="L61" s="4"/>
      <c r="M61" s="4"/>
      <c r="N61" s="4" t="s">
        <v>188</v>
      </c>
    </row>
    <row r="62" customFormat="false" ht="15" hidden="false" customHeight="false" outlineLevel="0" collapsed="false">
      <c r="A62" s="4" t="s">
        <v>65</v>
      </c>
      <c r="B62" s="4" t="s">
        <v>246</v>
      </c>
      <c r="C62" s="4" t="s">
        <v>247</v>
      </c>
      <c r="D62" s="4" t="s">
        <v>248</v>
      </c>
      <c r="E62" s="4" t="s">
        <v>242</v>
      </c>
      <c r="F62" s="4" t="s">
        <v>206</v>
      </c>
      <c r="G62" s="4" t="n">
        <v>10</v>
      </c>
      <c r="H62" s="4" t="n">
        <v>180</v>
      </c>
      <c r="I62" s="4" t="n">
        <v>150</v>
      </c>
      <c r="J62" s="4" t="n">
        <v>210</v>
      </c>
      <c r="K62" s="4" t="s">
        <v>187</v>
      </c>
      <c r="L62" s="4"/>
      <c r="M62" s="4"/>
      <c r="N62" s="4" t="s">
        <v>188</v>
      </c>
    </row>
    <row r="63" customFormat="false" ht="15" hidden="false" customHeight="false" outlineLevel="0" collapsed="false">
      <c r="A63" s="4" t="s">
        <v>74</v>
      </c>
      <c r="B63" s="4" t="s">
        <v>239</v>
      </c>
      <c r="C63" s="4" t="s">
        <v>240</v>
      </c>
      <c r="D63" s="4" t="s">
        <v>241</v>
      </c>
      <c r="E63" s="4" t="s">
        <v>242</v>
      </c>
      <c r="F63" s="4" t="s">
        <v>206</v>
      </c>
      <c r="G63" s="4" t="n">
        <v>10</v>
      </c>
      <c r="H63" s="4"/>
      <c r="I63" s="4" t="n">
        <v>5</v>
      </c>
      <c r="J63" s="4" t="n">
        <v>95</v>
      </c>
      <c r="K63" s="4" t="s">
        <v>207</v>
      </c>
      <c r="L63" s="4"/>
      <c r="M63" s="4"/>
      <c r="N63" s="4" t="s">
        <v>188</v>
      </c>
    </row>
    <row r="64" customFormat="false" ht="15" hidden="false" customHeight="false" outlineLevel="0" collapsed="false">
      <c r="A64" s="4" t="s">
        <v>74</v>
      </c>
      <c r="B64" s="4" t="s">
        <v>243</v>
      </c>
      <c r="C64" s="4" t="s">
        <v>244</v>
      </c>
      <c r="D64" s="4" t="s">
        <v>184</v>
      </c>
      <c r="E64" s="4" t="s">
        <v>242</v>
      </c>
      <c r="F64" s="4" t="s">
        <v>206</v>
      </c>
      <c r="G64" s="4" t="n">
        <v>10</v>
      </c>
      <c r="H64" s="4" t="n">
        <v>60</v>
      </c>
      <c r="I64" s="4" t="n">
        <v>55</v>
      </c>
      <c r="J64" s="4" t="n">
        <v>65</v>
      </c>
      <c r="K64" s="4" t="s">
        <v>187</v>
      </c>
      <c r="L64" s="4"/>
      <c r="M64" s="4"/>
      <c r="N64" s="4" t="s">
        <v>188</v>
      </c>
    </row>
    <row r="65" customFormat="false" ht="15" hidden="false" customHeight="false" outlineLevel="0" collapsed="false">
      <c r="A65" s="4" t="s">
        <v>74</v>
      </c>
      <c r="B65" s="4" t="s">
        <v>228</v>
      </c>
      <c r="C65" s="4" t="s">
        <v>245</v>
      </c>
      <c r="D65" s="4" t="s">
        <v>226</v>
      </c>
      <c r="E65" s="4" t="s">
        <v>242</v>
      </c>
      <c r="F65" s="4" t="s">
        <v>206</v>
      </c>
      <c r="G65" s="4" t="n">
        <v>30</v>
      </c>
      <c r="H65" s="4" t="n">
        <v>3.5</v>
      </c>
      <c r="I65" s="4" t="n">
        <v>3</v>
      </c>
      <c r="J65" s="4" t="n">
        <v>4</v>
      </c>
      <c r="K65" s="4" t="s">
        <v>187</v>
      </c>
      <c r="L65" s="4"/>
      <c r="M65" s="4"/>
      <c r="N65" s="4" t="s">
        <v>188</v>
      </c>
    </row>
    <row r="66" customFormat="false" ht="15" hidden="false" customHeight="false" outlineLevel="0" collapsed="false">
      <c r="A66" s="4" t="s">
        <v>74</v>
      </c>
      <c r="B66" s="4" t="s">
        <v>246</v>
      </c>
      <c r="C66" s="4" t="s">
        <v>247</v>
      </c>
      <c r="D66" s="4" t="s">
        <v>248</v>
      </c>
      <c r="E66" s="4" t="s">
        <v>242</v>
      </c>
      <c r="F66" s="4" t="s">
        <v>206</v>
      </c>
      <c r="G66" s="4" t="n">
        <v>10</v>
      </c>
      <c r="H66" s="4" t="n">
        <v>180</v>
      </c>
      <c r="I66" s="4" t="n">
        <v>150</v>
      </c>
      <c r="J66" s="4" t="n">
        <v>210</v>
      </c>
      <c r="K66" s="4" t="s">
        <v>187</v>
      </c>
      <c r="L66" s="4"/>
      <c r="M66" s="4"/>
      <c r="N66" s="4" t="s">
        <v>188</v>
      </c>
    </row>
    <row r="67" customFormat="false" ht="15" hidden="false" customHeight="false" outlineLevel="0" collapsed="false">
      <c r="A67" s="4" t="s">
        <v>76</v>
      </c>
      <c r="B67" s="4" t="s">
        <v>239</v>
      </c>
      <c r="C67" s="4" t="s">
        <v>240</v>
      </c>
      <c r="D67" s="4" t="s">
        <v>241</v>
      </c>
      <c r="E67" s="4" t="s">
        <v>242</v>
      </c>
      <c r="F67" s="4" t="s">
        <v>206</v>
      </c>
      <c r="G67" s="4" t="n">
        <v>10</v>
      </c>
      <c r="H67" s="4"/>
      <c r="I67" s="4" t="n">
        <v>5</v>
      </c>
      <c r="J67" s="4" t="n">
        <v>95</v>
      </c>
      <c r="K67" s="4" t="s">
        <v>207</v>
      </c>
      <c r="L67" s="4"/>
      <c r="M67" s="4"/>
      <c r="N67" s="4" t="s">
        <v>188</v>
      </c>
    </row>
    <row r="68" customFormat="false" ht="15" hidden="false" customHeight="false" outlineLevel="0" collapsed="false">
      <c r="A68" s="4" t="s">
        <v>76</v>
      </c>
      <c r="B68" s="4" t="s">
        <v>243</v>
      </c>
      <c r="C68" s="4" t="s">
        <v>244</v>
      </c>
      <c r="D68" s="4" t="s">
        <v>184</v>
      </c>
      <c r="E68" s="4" t="s">
        <v>242</v>
      </c>
      <c r="F68" s="4" t="s">
        <v>206</v>
      </c>
      <c r="G68" s="4" t="n">
        <v>10</v>
      </c>
      <c r="H68" s="4" t="n">
        <v>60</v>
      </c>
      <c r="I68" s="4" t="n">
        <v>55</v>
      </c>
      <c r="J68" s="4" t="n">
        <v>65</v>
      </c>
      <c r="K68" s="4" t="s">
        <v>187</v>
      </c>
      <c r="L68" s="4"/>
      <c r="M68" s="4"/>
      <c r="N68" s="4" t="s">
        <v>188</v>
      </c>
    </row>
    <row r="69" customFormat="false" ht="15" hidden="false" customHeight="false" outlineLevel="0" collapsed="false">
      <c r="A69" s="4" t="s">
        <v>76</v>
      </c>
      <c r="B69" s="4" t="s">
        <v>228</v>
      </c>
      <c r="C69" s="4" t="s">
        <v>245</v>
      </c>
      <c r="D69" s="4" t="s">
        <v>226</v>
      </c>
      <c r="E69" s="4" t="s">
        <v>242</v>
      </c>
      <c r="F69" s="4" t="s">
        <v>206</v>
      </c>
      <c r="G69" s="4" t="n">
        <v>30</v>
      </c>
      <c r="H69" s="4" t="n">
        <v>3.5</v>
      </c>
      <c r="I69" s="4" t="n">
        <v>3</v>
      </c>
      <c r="J69" s="4" t="n">
        <v>4</v>
      </c>
      <c r="K69" s="4" t="s">
        <v>187</v>
      </c>
      <c r="L69" s="4"/>
      <c r="M69" s="4"/>
      <c r="N69" s="4" t="s">
        <v>188</v>
      </c>
    </row>
    <row r="70" customFormat="false" ht="15" hidden="false" customHeight="false" outlineLevel="0" collapsed="false">
      <c r="A70" s="4" t="s">
        <v>76</v>
      </c>
      <c r="B70" s="4" t="s">
        <v>246</v>
      </c>
      <c r="C70" s="4" t="s">
        <v>247</v>
      </c>
      <c r="D70" s="4" t="s">
        <v>248</v>
      </c>
      <c r="E70" s="4" t="s">
        <v>242</v>
      </c>
      <c r="F70" s="4" t="s">
        <v>206</v>
      </c>
      <c r="G70" s="4" t="n">
        <v>10</v>
      </c>
      <c r="H70" s="4" t="n">
        <v>180</v>
      </c>
      <c r="I70" s="4" t="n">
        <v>150</v>
      </c>
      <c r="J70" s="4" t="n">
        <v>210</v>
      </c>
      <c r="K70" s="4" t="s">
        <v>187</v>
      </c>
      <c r="L70" s="4"/>
      <c r="M70" s="4"/>
      <c r="N70" s="4" t="s">
        <v>188</v>
      </c>
    </row>
    <row r="71" customFormat="false" ht="15" hidden="false" customHeight="false" outlineLevel="0" collapsed="false">
      <c r="A71" s="4" t="s">
        <v>78</v>
      </c>
      <c r="B71" s="4" t="s">
        <v>239</v>
      </c>
      <c r="C71" s="4" t="s">
        <v>240</v>
      </c>
      <c r="D71" s="4" t="s">
        <v>241</v>
      </c>
      <c r="E71" s="4" t="s">
        <v>242</v>
      </c>
      <c r="F71" s="4" t="s">
        <v>206</v>
      </c>
      <c r="G71" s="4" t="n">
        <v>10</v>
      </c>
      <c r="H71" s="4"/>
      <c r="I71" s="4" t="n">
        <v>5</v>
      </c>
      <c r="J71" s="4" t="n">
        <v>95</v>
      </c>
      <c r="K71" s="4" t="s">
        <v>207</v>
      </c>
      <c r="L71" s="4"/>
      <c r="M71" s="4"/>
      <c r="N71" s="4" t="s">
        <v>188</v>
      </c>
    </row>
    <row r="72" customFormat="false" ht="15" hidden="false" customHeight="false" outlineLevel="0" collapsed="false">
      <c r="A72" s="4" t="s">
        <v>78</v>
      </c>
      <c r="B72" s="4" t="s">
        <v>243</v>
      </c>
      <c r="C72" s="4" t="s">
        <v>244</v>
      </c>
      <c r="D72" s="4" t="s">
        <v>184</v>
      </c>
      <c r="E72" s="4" t="s">
        <v>242</v>
      </c>
      <c r="F72" s="4" t="s">
        <v>206</v>
      </c>
      <c r="G72" s="4" t="n">
        <v>10</v>
      </c>
      <c r="H72" s="4" t="n">
        <v>60</v>
      </c>
      <c r="I72" s="4" t="n">
        <v>55</v>
      </c>
      <c r="J72" s="4" t="n">
        <v>65</v>
      </c>
      <c r="K72" s="4" t="s">
        <v>187</v>
      </c>
      <c r="L72" s="4"/>
      <c r="M72" s="4"/>
      <c r="N72" s="4" t="s">
        <v>188</v>
      </c>
    </row>
    <row r="73" customFormat="false" ht="15" hidden="false" customHeight="false" outlineLevel="0" collapsed="false">
      <c r="A73" s="4" t="s">
        <v>78</v>
      </c>
      <c r="B73" s="4" t="s">
        <v>228</v>
      </c>
      <c r="C73" s="4" t="s">
        <v>245</v>
      </c>
      <c r="D73" s="4" t="s">
        <v>226</v>
      </c>
      <c r="E73" s="4" t="s">
        <v>242</v>
      </c>
      <c r="F73" s="4" t="s">
        <v>206</v>
      </c>
      <c r="G73" s="4" t="n">
        <v>30</v>
      </c>
      <c r="H73" s="4" t="n">
        <v>3.5</v>
      </c>
      <c r="I73" s="4" t="n">
        <v>3</v>
      </c>
      <c r="J73" s="4" t="n">
        <v>4</v>
      </c>
      <c r="K73" s="4" t="s">
        <v>187</v>
      </c>
      <c r="L73" s="4"/>
      <c r="M73" s="4"/>
      <c r="N73" s="4" t="s">
        <v>188</v>
      </c>
    </row>
    <row r="74" customFormat="false" ht="15" hidden="false" customHeight="false" outlineLevel="0" collapsed="false">
      <c r="A74" s="4" t="s">
        <v>78</v>
      </c>
      <c r="B74" s="4" t="s">
        <v>246</v>
      </c>
      <c r="C74" s="4" t="s">
        <v>247</v>
      </c>
      <c r="D74" s="4" t="s">
        <v>248</v>
      </c>
      <c r="E74" s="4" t="s">
        <v>242</v>
      </c>
      <c r="F74" s="4" t="s">
        <v>206</v>
      </c>
      <c r="G74" s="4" t="n">
        <v>10</v>
      </c>
      <c r="H74" s="4" t="n">
        <v>180</v>
      </c>
      <c r="I74" s="4" t="n">
        <v>150</v>
      </c>
      <c r="J74" s="4" t="n">
        <v>210</v>
      </c>
      <c r="K74" s="4" t="s">
        <v>187</v>
      </c>
      <c r="L74" s="4"/>
      <c r="M74" s="4"/>
      <c r="N74" s="4" t="s">
        <v>188</v>
      </c>
    </row>
    <row r="75" customFormat="false" ht="15" hidden="false" customHeight="false" outlineLevel="0" collapsed="false">
      <c r="A75" s="4" t="s">
        <v>80</v>
      </c>
      <c r="B75" s="4" t="s">
        <v>249</v>
      </c>
      <c r="C75" s="4" t="s">
        <v>250</v>
      </c>
      <c r="D75" s="4" t="s">
        <v>248</v>
      </c>
      <c r="E75" s="4" t="s">
        <v>185</v>
      </c>
      <c r="F75" s="4" t="s">
        <v>251</v>
      </c>
      <c r="G75" s="4" t="n">
        <v>5</v>
      </c>
      <c r="H75" s="4" t="n">
        <v>22</v>
      </c>
      <c r="I75" s="4" t="n">
        <v>18</v>
      </c>
      <c r="J75" s="4" t="n">
        <v>26</v>
      </c>
      <c r="K75" s="4" t="s">
        <v>187</v>
      </c>
      <c r="L75" s="4"/>
      <c r="M75" s="4"/>
      <c r="N75" s="4" t="s">
        <v>188</v>
      </c>
    </row>
    <row r="76" customFormat="false" ht="15" hidden="false" customHeight="false" outlineLevel="0" collapsed="false">
      <c r="A76" s="4" t="s">
        <v>80</v>
      </c>
      <c r="B76" s="4" t="s">
        <v>252</v>
      </c>
      <c r="C76" s="4" t="s">
        <v>253</v>
      </c>
      <c r="D76" s="4" t="s">
        <v>248</v>
      </c>
      <c r="E76" s="4" t="s">
        <v>185</v>
      </c>
      <c r="F76" s="4" t="s">
        <v>251</v>
      </c>
      <c r="G76" s="4" t="n">
        <v>5</v>
      </c>
      <c r="H76" s="4" t="n">
        <v>40</v>
      </c>
      <c r="I76" s="4" t="n">
        <v>34</v>
      </c>
      <c r="J76" s="4" t="n">
        <v>46</v>
      </c>
      <c r="K76" s="4" t="s">
        <v>187</v>
      </c>
      <c r="L76" s="4"/>
      <c r="M76" s="4"/>
      <c r="N76" s="4" t="s">
        <v>188</v>
      </c>
    </row>
    <row r="77" customFormat="false" ht="15" hidden="false" customHeight="false" outlineLevel="0" collapsed="false">
      <c r="A77" s="4" t="s">
        <v>80</v>
      </c>
      <c r="B77" s="4" t="s">
        <v>254</v>
      </c>
      <c r="C77" s="4" t="s">
        <v>255</v>
      </c>
      <c r="D77" s="4" t="s">
        <v>226</v>
      </c>
      <c r="E77" s="4" t="s">
        <v>185</v>
      </c>
      <c r="F77" s="4" t="s">
        <v>206</v>
      </c>
      <c r="G77" s="4" t="n">
        <v>30</v>
      </c>
      <c r="H77" s="4" t="n">
        <v>9.8</v>
      </c>
      <c r="I77" s="4" t="n">
        <v>9.4</v>
      </c>
      <c r="J77" s="4" t="n">
        <v>10.2</v>
      </c>
      <c r="K77" s="4" t="s">
        <v>187</v>
      </c>
      <c r="L77" s="4"/>
      <c r="M77" s="4"/>
      <c r="N77" s="4" t="s">
        <v>188</v>
      </c>
    </row>
    <row r="78" customFormat="false" ht="15" hidden="false" customHeight="false" outlineLevel="0" collapsed="false">
      <c r="A78" s="4" t="s">
        <v>88</v>
      </c>
      <c r="B78" s="4" t="s">
        <v>256</v>
      </c>
      <c r="C78" s="4" t="s">
        <v>257</v>
      </c>
      <c r="D78" s="4" t="s">
        <v>184</v>
      </c>
      <c r="E78" s="4" t="s">
        <v>185</v>
      </c>
      <c r="F78" s="4" t="s">
        <v>206</v>
      </c>
      <c r="G78" s="4" t="n">
        <v>10</v>
      </c>
      <c r="H78" s="4" t="n">
        <v>100</v>
      </c>
      <c r="I78" s="4" t="n">
        <v>97</v>
      </c>
      <c r="J78" s="4" t="n">
        <v>104</v>
      </c>
      <c r="K78" s="4" t="s">
        <v>187</v>
      </c>
      <c r="L78" s="4"/>
      <c r="M78" s="4"/>
      <c r="N78" s="4" t="s">
        <v>188</v>
      </c>
    </row>
    <row r="79" customFormat="false" ht="15" hidden="false" customHeight="false" outlineLevel="0" collapsed="false">
      <c r="A79" s="4" t="s">
        <v>88</v>
      </c>
      <c r="B79" s="4" t="s">
        <v>258</v>
      </c>
      <c r="C79" s="4" t="s">
        <v>259</v>
      </c>
      <c r="D79" s="4" t="s">
        <v>184</v>
      </c>
      <c r="E79" s="4" t="s">
        <v>185</v>
      </c>
      <c r="F79" s="4" t="s">
        <v>206</v>
      </c>
      <c r="G79" s="4" t="n">
        <v>10</v>
      </c>
      <c r="H79" s="4" t="n">
        <v>22</v>
      </c>
      <c r="I79" s="4"/>
      <c r="J79" s="4" t="n">
        <v>30</v>
      </c>
      <c r="K79" s="4" t="s">
        <v>187</v>
      </c>
      <c r="L79" s="4"/>
      <c r="M79" s="4"/>
      <c r="N79" s="4" t="s">
        <v>188</v>
      </c>
    </row>
    <row r="80" customFormat="false" ht="15" hidden="false" customHeight="false" outlineLevel="0" collapsed="false">
      <c r="A80" s="4" t="s">
        <v>88</v>
      </c>
      <c r="B80" s="4" t="s">
        <v>260</v>
      </c>
      <c r="C80" s="4" t="s">
        <v>261</v>
      </c>
      <c r="D80" s="4" t="s">
        <v>232</v>
      </c>
      <c r="E80" s="4" t="s">
        <v>185</v>
      </c>
      <c r="F80" s="4" t="s">
        <v>251</v>
      </c>
      <c r="G80" s="4" t="n">
        <v>10</v>
      </c>
      <c r="H80" s="4" t="n">
        <v>180</v>
      </c>
      <c r="I80" s="4" t="n">
        <v>150</v>
      </c>
      <c r="J80" s="4"/>
      <c r="K80" s="4" t="s">
        <v>187</v>
      </c>
      <c r="L80" s="4"/>
      <c r="M80" s="4"/>
      <c r="N80" s="4" t="s">
        <v>188</v>
      </c>
    </row>
    <row r="81" customFormat="false" ht="15" hidden="false" customHeight="false" outlineLevel="0" collapsed="false">
      <c r="A81" s="4" t="s">
        <v>109</v>
      </c>
      <c r="B81" s="4" t="s">
        <v>204</v>
      </c>
      <c r="C81" s="4" t="s">
        <v>217</v>
      </c>
      <c r="D81" s="4" t="s">
        <v>184</v>
      </c>
      <c r="E81" s="4" t="s">
        <v>185</v>
      </c>
      <c r="F81" s="4" t="s">
        <v>206</v>
      </c>
      <c r="G81" s="4" t="n">
        <v>10</v>
      </c>
      <c r="H81" s="4" t="n">
        <v>45</v>
      </c>
      <c r="I81" s="4" t="n">
        <v>40</v>
      </c>
      <c r="J81" s="4" t="n">
        <v>50</v>
      </c>
      <c r="K81" s="4" t="s">
        <v>187</v>
      </c>
      <c r="L81" s="4"/>
      <c r="M81" s="4"/>
      <c r="N81" s="4" t="s">
        <v>188</v>
      </c>
    </row>
    <row r="82" customFormat="false" ht="15" hidden="false" customHeight="false" outlineLevel="0" collapsed="false">
      <c r="A82" s="4" t="s">
        <v>163</v>
      </c>
      <c r="B82" s="4" t="s">
        <v>243</v>
      </c>
      <c r="C82" s="4" t="s">
        <v>262</v>
      </c>
      <c r="D82" s="4" t="s">
        <v>184</v>
      </c>
      <c r="E82" s="4" t="s">
        <v>185</v>
      </c>
      <c r="F82" s="4" t="s">
        <v>206</v>
      </c>
      <c r="G82" s="4" t="n">
        <v>30</v>
      </c>
      <c r="H82" s="4" t="n">
        <v>45</v>
      </c>
      <c r="I82" s="4" t="n">
        <v>40</v>
      </c>
      <c r="J82" s="4" t="n">
        <v>50</v>
      </c>
      <c r="K82" s="4" t="s">
        <v>187</v>
      </c>
      <c r="L82" s="4"/>
      <c r="M82" s="4"/>
      <c r="N82" s="4" t="s">
        <v>188</v>
      </c>
    </row>
    <row r="83" customFormat="false" ht="15" hidden="false" customHeight="false" outlineLevel="0" collapsed="false">
      <c r="A83" s="4" t="s">
        <v>165</v>
      </c>
      <c r="B83" s="4" t="s">
        <v>243</v>
      </c>
      <c r="C83" s="4" t="s">
        <v>262</v>
      </c>
      <c r="D83" s="4" t="s">
        <v>184</v>
      </c>
      <c r="E83" s="4" t="s">
        <v>185</v>
      </c>
      <c r="F83" s="4" t="s">
        <v>206</v>
      </c>
      <c r="G83" s="4" t="n">
        <v>30</v>
      </c>
      <c r="H83" s="4" t="n">
        <v>45</v>
      </c>
      <c r="I83" s="4" t="n">
        <v>40</v>
      </c>
      <c r="J83" s="4" t="n">
        <v>50</v>
      </c>
      <c r="K83" s="4" t="s">
        <v>187</v>
      </c>
      <c r="L83" s="4"/>
      <c r="M83" s="4"/>
      <c r="N83" s="4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2" t="s">
        <v>264</v>
      </c>
    </row>
    <row r="4" customFormat="false" ht="15" hidden="false" customHeight="false" outlineLevel="0" collapsed="false">
      <c r="A4" s="3" t="s">
        <v>265</v>
      </c>
      <c r="B4" s="3" t="s">
        <v>266</v>
      </c>
      <c r="C4" s="3" t="s">
        <v>267</v>
      </c>
      <c r="D4" s="3" t="s">
        <v>268</v>
      </c>
      <c r="E4" s="3" t="s">
        <v>269</v>
      </c>
    </row>
    <row r="5" customFormat="false" ht="15" hidden="false" customHeight="false" outlineLevel="0" collapsed="false">
      <c r="A5" s="4" t="s">
        <v>270</v>
      </c>
      <c r="B5" s="4" t="s">
        <v>271</v>
      </c>
      <c r="C5" s="4" t="s">
        <v>272</v>
      </c>
      <c r="D5" s="4" t="s">
        <v>42</v>
      </c>
      <c r="E5" s="4" t="s">
        <v>273</v>
      </c>
    </row>
    <row r="6" customFormat="false" ht="15" hidden="false" customHeight="false" outlineLevel="0" collapsed="false">
      <c r="A6" s="4" t="s">
        <v>274</v>
      </c>
      <c r="B6" s="4" t="s">
        <v>275</v>
      </c>
      <c r="C6" s="4" t="s">
        <v>276</v>
      </c>
      <c r="D6" s="4" t="s">
        <v>277</v>
      </c>
      <c r="E6" s="4" t="s">
        <v>278</v>
      </c>
    </row>
    <row r="7" customFormat="false" ht="15" hidden="false" customHeight="false" outlineLevel="0" collapsed="false">
      <c r="A7" s="4" t="s">
        <v>279</v>
      </c>
      <c r="B7" s="4" t="s">
        <v>280</v>
      </c>
      <c r="C7" s="4" t="s">
        <v>281</v>
      </c>
      <c r="D7" s="4" t="s">
        <v>277</v>
      </c>
      <c r="E7" s="4" t="s">
        <v>282</v>
      </c>
    </row>
    <row r="8" customFormat="false" ht="15" hidden="false" customHeight="false" outlineLevel="0" collapsed="false">
      <c r="A8" s="4" t="s">
        <v>283</v>
      </c>
      <c r="B8" s="4" t="s">
        <v>284</v>
      </c>
      <c r="C8" s="4" t="s">
        <v>285</v>
      </c>
      <c r="D8" s="4" t="s">
        <v>286</v>
      </c>
      <c r="E8" s="4" t="s">
        <v>287</v>
      </c>
    </row>
    <row r="9" customFormat="false" ht="15" hidden="false" customHeight="false" outlineLevel="0" collapsed="false">
      <c r="A9" s="4" t="s">
        <v>288</v>
      </c>
      <c r="B9" s="4" t="s">
        <v>289</v>
      </c>
      <c r="C9" s="4" t="s">
        <v>290</v>
      </c>
      <c r="D9" s="4" t="s">
        <v>291</v>
      </c>
      <c r="E9" s="4" t="s">
        <v>292</v>
      </c>
    </row>
    <row r="10" customFormat="false" ht="15" hidden="false" customHeight="false" outlineLevel="0" collapsed="false">
      <c r="A10" s="4" t="s">
        <v>293</v>
      </c>
      <c r="B10" s="4" t="s">
        <v>294</v>
      </c>
      <c r="C10" s="4" t="s">
        <v>295</v>
      </c>
      <c r="D10" s="4" t="s">
        <v>277</v>
      </c>
      <c r="E10" s="4" t="s">
        <v>296</v>
      </c>
    </row>
    <row r="11" customFormat="false" ht="15" hidden="false" customHeight="false" outlineLevel="0" collapsed="false">
      <c r="A11" s="4" t="s">
        <v>297</v>
      </c>
      <c r="B11" s="4" t="s">
        <v>298</v>
      </c>
      <c r="C11" s="4" t="s">
        <v>299</v>
      </c>
      <c r="D11" s="4" t="s">
        <v>300</v>
      </c>
      <c r="E11" s="4" t="s">
        <v>301</v>
      </c>
    </row>
    <row r="12" customFormat="false" ht="15" hidden="false" customHeight="false" outlineLevel="0" collapsed="false">
      <c r="A12" s="4" t="s">
        <v>302</v>
      </c>
      <c r="B12" s="4" t="s">
        <v>303</v>
      </c>
      <c r="C12" s="4" t="s">
        <v>304</v>
      </c>
      <c r="D12" s="4" t="s">
        <v>305</v>
      </c>
      <c r="E12" s="4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4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307</v>
      </c>
    </row>
    <row r="2" customFormat="false" ht="15" hidden="false" customHeight="false" outlineLevel="0" collapsed="false">
      <c r="A2" s="2" t="s">
        <v>308</v>
      </c>
    </row>
    <row r="4" customFormat="false" ht="35.05" hidden="false" customHeight="false" outlineLevel="0" collapsed="false">
      <c r="A4" s="3" t="s">
        <v>266</v>
      </c>
      <c r="B4" s="3" t="s">
        <v>309</v>
      </c>
      <c r="C4" s="3" t="s">
        <v>310</v>
      </c>
      <c r="D4" s="3" t="s">
        <v>311</v>
      </c>
      <c r="E4" s="3" t="s">
        <v>312</v>
      </c>
      <c r="F4" s="3" t="s">
        <v>313</v>
      </c>
      <c r="G4" s="3" t="s">
        <v>314</v>
      </c>
    </row>
    <row r="5" customFormat="false" ht="15" hidden="false" customHeight="false" outlineLevel="0" collapsed="false">
      <c r="A5" s="4" t="s">
        <v>315</v>
      </c>
      <c r="B5" s="4" t="s">
        <v>286</v>
      </c>
      <c r="C5" s="4" t="s">
        <v>316</v>
      </c>
      <c r="D5" s="4" t="s">
        <v>317</v>
      </c>
      <c r="E5" s="4" t="s">
        <v>16</v>
      </c>
      <c r="F5" s="4" t="n">
        <v>60</v>
      </c>
      <c r="G5" s="4" t="s">
        <v>286</v>
      </c>
    </row>
    <row r="6" customFormat="false" ht="15" hidden="false" customHeight="false" outlineLevel="0" collapsed="false">
      <c r="A6" s="4" t="s">
        <v>318</v>
      </c>
      <c r="B6" s="4" t="s">
        <v>286</v>
      </c>
      <c r="C6" s="4" t="s">
        <v>316</v>
      </c>
      <c r="D6" s="4" t="s">
        <v>319</v>
      </c>
      <c r="E6" s="4" t="s">
        <v>320</v>
      </c>
      <c r="F6" s="4" t="n">
        <v>45</v>
      </c>
      <c r="G6" s="4" t="s">
        <v>286</v>
      </c>
    </row>
    <row r="7" customFormat="false" ht="15" hidden="false" customHeight="false" outlineLevel="0" collapsed="false">
      <c r="A7" s="4" t="s">
        <v>321</v>
      </c>
      <c r="B7" s="4" t="s">
        <v>286</v>
      </c>
      <c r="C7" s="4" t="s">
        <v>322</v>
      </c>
      <c r="D7" s="4" t="s">
        <v>323</v>
      </c>
      <c r="E7" s="4" t="s">
        <v>320</v>
      </c>
      <c r="F7" s="4" t="n">
        <v>60</v>
      </c>
      <c r="G7" s="4" t="s">
        <v>286</v>
      </c>
    </row>
    <row r="8" customFormat="false" ht="15" hidden="false" customHeight="false" outlineLevel="0" collapsed="false">
      <c r="A8" s="4" t="s">
        <v>324</v>
      </c>
      <c r="B8" s="4" t="s">
        <v>286</v>
      </c>
      <c r="C8" s="4" t="s">
        <v>322</v>
      </c>
      <c r="D8" s="4" t="s">
        <v>325</v>
      </c>
      <c r="E8" s="4" t="s">
        <v>16</v>
      </c>
      <c r="F8" s="4" t="n">
        <v>150</v>
      </c>
      <c r="G8" s="4" t="s">
        <v>286</v>
      </c>
    </row>
    <row r="9" customFormat="false" ht="15" hidden="false" customHeight="false" outlineLevel="0" collapsed="false">
      <c r="A9" s="4" t="s">
        <v>326</v>
      </c>
      <c r="B9" s="4" t="s">
        <v>286</v>
      </c>
      <c r="C9" s="4" t="s">
        <v>322</v>
      </c>
      <c r="D9" s="4" t="s">
        <v>327</v>
      </c>
      <c r="E9" s="4" t="s">
        <v>320</v>
      </c>
      <c r="F9" s="4" t="n">
        <v>40</v>
      </c>
      <c r="G9" s="4" t="s">
        <v>286</v>
      </c>
    </row>
    <row r="10" customFormat="false" ht="15" hidden="false" customHeight="false" outlineLevel="0" collapsed="false">
      <c r="A10" s="4" t="s">
        <v>328</v>
      </c>
      <c r="B10" s="4" t="s">
        <v>286</v>
      </c>
      <c r="C10" s="4" t="s">
        <v>329</v>
      </c>
      <c r="D10" s="4" t="s">
        <v>330</v>
      </c>
      <c r="E10" s="4" t="s">
        <v>320</v>
      </c>
      <c r="F10" s="4" t="n">
        <v>180</v>
      </c>
      <c r="G10" s="4" t="s">
        <v>286</v>
      </c>
    </row>
    <row r="11" customFormat="false" ht="15" hidden="false" customHeight="false" outlineLevel="0" collapsed="false">
      <c r="A11" s="4" t="s">
        <v>331</v>
      </c>
      <c r="B11" s="4" t="s">
        <v>286</v>
      </c>
      <c r="C11" s="4" t="s">
        <v>329</v>
      </c>
      <c r="D11" s="4" t="s">
        <v>332</v>
      </c>
      <c r="E11" s="4" t="s">
        <v>16</v>
      </c>
      <c r="F11" s="4" t="n">
        <v>60</v>
      </c>
      <c r="G11" s="4" t="s">
        <v>286</v>
      </c>
    </row>
    <row r="12" customFormat="false" ht="15" hidden="false" customHeight="false" outlineLevel="0" collapsed="false">
      <c r="A12" s="4" t="s">
        <v>333</v>
      </c>
      <c r="B12" s="4" t="s">
        <v>286</v>
      </c>
      <c r="C12" s="4" t="s">
        <v>329</v>
      </c>
      <c r="D12" s="4" t="s">
        <v>334</v>
      </c>
      <c r="E12" s="4" t="s">
        <v>16</v>
      </c>
      <c r="F12" s="4" t="n">
        <v>120</v>
      </c>
      <c r="G12" s="4" t="s">
        <v>286</v>
      </c>
    </row>
    <row r="13" customFormat="false" ht="15" hidden="false" customHeight="false" outlineLevel="0" collapsed="false">
      <c r="A13" s="4" t="s">
        <v>335</v>
      </c>
      <c r="B13" s="4" t="s">
        <v>286</v>
      </c>
      <c r="C13" s="4" t="s">
        <v>329</v>
      </c>
      <c r="D13" s="4" t="s">
        <v>336</v>
      </c>
      <c r="E13" s="4" t="s">
        <v>320</v>
      </c>
      <c r="F13" s="4" t="n">
        <v>30</v>
      </c>
      <c r="G13" s="4" t="s">
        <v>286</v>
      </c>
    </row>
    <row r="14" customFormat="false" ht="15" hidden="false" customHeight="false" outlineLevel="0" collapsed="false">
      <c r="A14" s="4" t="s">
        <v>337</v>
      </c>
      <c r="B14" s="4" t="s">
        <v>286</v>
      </c>
      <c r="C14" s="4" t="s">
        <v>23</v>
      </c>
      <c r="D14" s="4" t="s">
        <v>338</v>
      </c>
      <c r="E14" s="4" t="s">
        <v>320</v>
      </c>
      <c r="F14" s="4" t="n">
        <v>15</v>
      </c>
      <c r="G14" s="4" t="s">
        <v>286</v>
      </c>
    </row>
    <row r="15" customFormat="false" ht="15" hidden="false" customHeight="false" outlineLevel="0" collapsed="false">
      <c r="A15" s="4" t="s">
        <v>339</v>
      </c>
      <c r="B15" s="4" t="s">
        <v>340</v>
      </c>
      <c r="C15" s="4" t="s">
        <v>341</v>
      </c>
      <c r="D15" s="4" t="s">
        <v>342</v>
      </c>
      <c r="E15" s="4" t="s">
        <v>343</v>
      </c>
      <c r="F15" s="4" t="n">
        <v>45</v>
      </c>
      <c r="G15" s="4" t="s">
        <v>277</v>
      </c>
    </row>
    <row r="16" customFormat="false" ht="15" hidden="false" customHeight="false" outlineLevel="0" collapsed="false">
      <c r="A16" s="4" t="s">
        <v>344</v>
      </c>
      <c r="B16" s="4" t="s">
        <v>340</v>
      </c>
      <c r="C16" s="4" t="s">
        <v>341</v>
      </c>
      <c r="D16" s="4" t="s">
        <v>345</v>
      </c>
      <c r="E16" s="4" t="s">
        <v>16</v>
      </c>
      <c r="F16" s="4" t="n">
        <v>70</v>
      </c>
      <c r="G16" s="4" t="s">
        <v>277</v>
      </c>
    </row>
    <row r="17" customFormat="false" ht="15" hidden="false" customHeight="false" outlineLevel="0" collapsed="false">
      <c r="A17" s="4" t="s">
        <v>346</v>
      </c>
      <c r="B17" s="4" t="s">
        <v>340</v>
      </c>
      <c r="C17" s="4" t="s">
        <v>341</v>
      </c>
      <c r="D17" s="4" t="s">
        <v>347</v>
      </c>
      <c r="E17" s="4" t="s">
        <v>16</v>
      </c>
      <c r="F17" s="4" t="n">
        <v>90</v>
      </c>
      <c r="G17" s="4" t="s">
        <v>277</v>
      </c>
    </row>
    <row r="18" customFormat="false" ht="15" hidden="false" customHeight="false" outlineLevel="0" collapsed="false">
      <c r="A18" s="4" t="s">
        <v>348</v>
      </c>
      <c r="B18" s="4" t="s">
        <v>340</v>
      </c>
      <c r="C18" s="4" t="s">
        <v>341</v>
      </c>
      <c r="D18" s="4" t="s">
        <v>349</v>
      </c>
      <c r="E18" s="4" t="s">
        <v>16</v>
      </c>
      <c r="F18" s="4" t="n">
        <v>50</v>
      </c>
      <c r="G18" s="4" t="s">
        <v>277</v>
      </c>
    </row>
    <row r="19" customFormat="false" ht="15" hidden="false" customHeight="false" outlineLevel="0" collapsed="false">
      <c r="A19" s="4" t="s">
        <v>350</v>
      </c>
      <c r="B19" s="4" t="s">
        <v>340</v>
      </c>
      <c r="C19" s="4" t="s">
        <v>351</v>
      </c>
      <c r="D19" s="4" t="s">
        <v>352</v>
      </c>
      <c r="E19" s="4" t="s">
        <v>16</v>
      </c>
      <c r="F19" s="4" t="n">
        <v>60</v>
      </c>
      <c r="G19" s="4" t="s">
        <v>277</v>
      </c>
    </row>
    <row r="20" customFormat="false" ht="15" hidden="false" customHeight="false" outlineLevel="0" collapsed="false">
      <c r="A20" s="4" t="s">
        <v>353</v>
      </c>
      <c r="B20" s="4" t="s">
        <v>340</v>
      </c>
      <c r="C20" s="4" t="s">
        <v>351</v>
      </c>
      <c r="D20" s="4" t="s">
        <v>354</v>
      </c>
      <c r="E20" s="4" t="s">
        <v>16</v>
      </c>
      <c r="F20" s="4" t="n">
        <v>40</v>
      </c>
      <c r="G20" s="4" t="s">
        <v>277</v>
      </c>
    </row>
    <row r="21" customFormat="false" ht="15" hidden="false" customHeight="false" outlineLevel="0" collapsed="false">
      <c r="A21" s="4" t="s">
        <v>355</v>
      </c>
      <c r="B21" s="4" t="s">
        <v>340</v>
      </c>
      <c r="C21" s="4" t="s">
        <v>351</v>
      </c>
      <c r="D21" s="4" t="s">
        <v>356</v>
      </c>
      <c r="E21" s="4" t="s">
        <v>320</v>
      </c>
      <c r="F21" s="4" t="n">
        <v>45</v>
      </c>
      <c r="G21" s="4" t="s">
        <v>277</v>
      </c>
    </row>
    <row r="22" customFormat="false" ht="15" hidden="false" customHeight="false" outlineLevel="0" collapsed="false">
      <c r="A22" s="4" t="s">
        <v>357</v>
      </c>
      <c r="B22" s="4" t="s">
        <v>340</v>
      </c>
      <c r="C22" s="4" t="s">
        <v>351</v>
      </c>
      <c r="D22" s="4" t="s">
        <v>358</v>
      </c>
      <c r="E22" s="4" t="s">
        <v>9</v>
      </c>
      <c r="F22" s="4" t="n">
        <v>55</v>
      </c>
      <c r="G22" s="4" t="s">
        <v>277</v>
      </c>
    </row>
    <row r="23" customFormat="false" ht="15" hidden="false" customHeight="false" outlineLevel="0" collapsed="false">
      <c r="A23" s="4" t="s">
        <v>359</v>
      </c>
      <c r="B23" s="4" t="s">
        <v>340</v>
      </c>
      <c r="C23" s="4" t="s">
        <v>360</v>
      </c>
      <c r="D23" s="4" t="s">
        <v>361</v>
      </c>
      <c r="E23" s="4" t="s">
        <v>320</v>
      </c>
      <c r="F23" s="4" t="n">
        <v>50</v>
      </c>
      <c r="G23" s="4" t="s">
        <v>277</v>
      </c>
    </row>
    <row r="24" customFormat="false" ht="15" hidden="false" customHeight="false" outlineLevel="0" collapsed="false">
      <c r="A24" s="4" t="s">
        <v>362</v>
      </c>
      <c r="B24" s="4" t="s">
        <v>340</v>
      </c>
      <c r="C24" s="4" t="s">
        <v>360</v>
      </c>
      <c r="D24" s="4" t="s">
        <v>363</v>
      </c>
      <c r="E24" s="4" t="s">
        <v>320</v>
      </c>
      <c r="F24" s="4" t="n">
        <v>60</v>
      </c>
      <c r="G24" s="4" t="s">
        <v>277</v>
      </c>
    </row>
    <row r="25" customFormat="false" ht="15" hidden="false" customHeight="false" outlineLevel="0" collapsed="false">
      <c r="A25" s="4" t="s">
        <v>364</v>
      </c>
      <c r="B25" s="4" t="s">
        <v>340</v>
      </c>
      <c r="C25" s="4" t="s">
        <v>360</v>
      </c>
      <c r="D25" s="4" t="s">
        <v>365</v>
      </c>
      <c r="E25" s="4" t="s">
        <v>320</v>
      </c>
      <c r="F25" s="4" t="n">
        <v>120</v>
      </c>
      <c r="G25" s="4" t="s">
        <v>277</v>
      </c>
    </row>
    <row r="26" customFormat="false" ht="15" hidden="false" customHeight="false" outlineLevel="0" collapsed="false">
      <c r="A26" s="4" t="s">
        <v>366</v>
      </c>
      <c r="B26" s="4" t="s">
        <v>340</v>
      </c>
      <c r="C26" s="4" t="s">
        <v>367</v>
      </c>
      <c r="D26" s="4" t="s">
        <v>368</v>
      </c>
      <c r="E26" s="4" t="s">
        <v>9</v>
      </c>
      <c r="F26" s="4" t="n">
        <v>35</v>
      </c>
      <c r="G26" s="4" t="s">
        <v>277</v>
      </c>
    </row>
    <row r="27" customFormat="false" ht="15" hidden="false" customHeight="false" outlineLevel="0" collapsed="false">
      <c r="A27" s="4" t="s">
        <v>369</v>
      </c>
      <c r="B27" s="4" t="s">
        <v>340</v>
      </c>
      <c r="C27" s="4" t="s">
        <v>367</v>
      </c>
      <c r="D27" s="4" t="s">
        <v>370</v>
      </c>
      <c r="E27" s="4" t="s">
        <v>320</v>
      </c>
      <c r="F27" s="4" t="n">
        <v>30</v>
      </c>
      <c r="G27" s="4" t="s">
        <v>277</v>
      </c>
    </row>
    <row r="28" customFormat="false" ht="15" hidden="false" customHeight="false" outlineLevel="0" collapsed="false">
      <c r="A28" s="4" t="s">
        <v>371</v>
      </c>
      <c r="B28" s="4" t="s">
        <v>340</v>
      </c>
      <c r="C28" s="4" t="s">
        <v>367</v>
      </c>
      <c r="D28" s="4" t="s">
        <v>372</v>
      </c>
      <c r="E28" s="4" t="s">
        <v>320</v>
      </c>
      <c r="F28" s="4" t="n">
        <v>25</v>
      </c>
      <c r="G28" s="4" t="s">
        <v>277</v>
      </c>
    </row>
    <row r="29" customFormat="false" ht="15" hidden="false" customHeight="false" outlineLevel="0" collapsed="false">
      <c r="A29" s="4" t="s">
        <v>373</v>
      </c>
      <c r="B29" s="4" t="s">
        <v>340</v>
      </c>
      <c r="C29" s="4" t="s">
        <v>367</v>
      </c>
      <c r="D29" s="4" t="s">
        <v>374</v>
      </c>
      <c r="E29" s="4" t="s">
        <v>9</v>
      </c>
      <c r="F29" s="4" t="n">
        <v>30</v>
      </c>
      <c r="G29" s="4" t="s">
        <v>277</v>
      </c>
    </row>
    <row r="30" customFormat="false" ht="15" hidden="false" customHeight="false" outlineLevel="0" collapsed="false">
      <c r="A30" s="4" t="s">
        <v>375</v>
      </c>
      <c r="B30" s="4" t="s">
        <v>340</v>
      </c>
      <c r="C30" s="4" t="s">
        <v>376</v>
      </c>
      <c r="D30" s="4" t="s">
        <v>377</v>
      </c>
      <c r="E30" s="4" t="s">
        <v>9</v>
      </c>
      <c r="F30" s="4" t="n">
        <v>40</v>
      </c>
      <c r="G30" s="4" t="s">
        <v>277</v>
      </c>
    </row>
    <row r="31" customFormat="false" ht="15" hidden="false" customHeight="false" outlineLevel="0" collapsed="false">
      <c r="A31" s="4" t="s">
        <v>378</v>
      </c>
      <c r="B31" s="4" t="s">
        <v>340</v>
      </c>
      <c r="C31" s="4" t="s">
        <v>376</v>
      </c>
      <c r="D31" s="4" t="s">
        <v>379</v>
      </c>
      <c r="E31" s="4" t="s">
        <v>320</v>
      </c>
      <c r="F31" s="4" t="n">
        <v>45</v>
      </c>
      <c r="G31" s="4" t="s">
        <v>277</v>
      </c>
    </row>
    <row r="32" customFormat="false" ht="15" hidden="false" customHeight="false" outlineLevel="0" collapsed="false">
      <c r="A32" s="4" t="s">
        <v>380</v>
      </c>
      <c r="B32" s="4" t="s">
        <v>340</v>
      </c>
      <c r="C32" s="4" t="s">
        <v>376</v>
      </c>
      <c r="D32" s="4" t="s">
        <v>381</v>
      </c>
      <c r="E32" s="4" t="s">
        <v>9</v>
      </c>
      <c r="F32" s="4" t="n">
        <v>35</v>
      </c>
      <c r="G32" s="4" t="s">
        <v>277</v>
      </c>
    </row>
    <row r="33" customFormat="false" ht="15" hidden="false" customHeight="false" outlineLevel="0" collapsed="false">
      <c r="A33" s="4" t="s">
        <v>382</v>
      </c>
      <c r="B33" s="4" t="s">
        <v>383</v>
      </c>
      <c r="C33" s="4" t="s">
        <v>383</v>
      </c>
      <c r="D33" s="4" t="s">
        <v>384</v>
      </c>
      <c r="E33" s="4" t="s">
        <v>16</v>
      </c>
      <c r="F33" s="4" t="n">
        <v>55</v>
      </c>
      <c r="G33" s="4" t="s">
        <v>277</v>
      </c>
    </row>
    <row r="34" customFormat="false" ht="15" hidden="false" customHeight="false" outlineLevel="0" collapsed="false">
      <c r="A34" s="4" t="s">
        <v>385</v>
      </c>
      <c r="B34" s="4" t="s">
        <v>383</v>
      </c>
      <c r="C34" s="4" t="s">
        <v>386</v>
      </c>
      <c r="D34" s="4" t="s">
        <v>387</v>
      </c>
      <c r="E34" s="4" t="s">
        <v>320</v>
      </c>
      <c r="F34" s="4" t="n">
        <v>40</v>
      </c>
      <c r="G34" s="4" t="s">
        <v>277</v>
      </c>
    </row>
    <row r="35" customFormat="false" ht="15" hidden="false" customHeight="false" outlineLevel="0" collapsed="false">
      <c r="A35" s="4" t="s">
        <v>388</v>
      </c>
      <c r="B35" s="4" t="s">
        <v>383</v>
      </c>
      <c r="C35" s="4" t="s">
        <v>386</v>
      </c>
      <c r="D35" s="4" t="s">
        <v>389</v>
      </c>
      <c r="E35" s="4" t="s">
        <v>320</v>
      </c>
      <c r="F35" s="4" t="n">
        <v>60</v>
      </c>
      <c r="G35" s="4" t="s">
        <v>277</v>
      </c>
    </row>
    <row r="36" customFormat="false" ht="15" hidden="false" customHeight="false" outlineLevel="0" collapsed="false">
      <c r="A36" s="4" t="s">
        <v>390</v>
      </c>
      <c r="B36" s="4" t="s">
        <v>383</v>
      </c>
      <c r="C36" s="4" t="s">
        <v>386</v>
      </c>
      <c r="D36" s="4" t="s">
        <v>391</v>
      </c>
      <c r="E36" s="4" t="s">
        <v>16</v>
      </c>
      <c r="F36" s="4" t="n">
        <v>30</v>
      </c>
      <c r="G36" s="4" t="s">
        <v>277</v>
      </c>
    </row>
    <row r="37" customFormat="false" ht="15" hidden="false" customHeight="false" outlineLevel="0" collapsed="false">
      <c r="A37" s="4" t="s">
        <v>392</v>
      </c>
      <c r="B37" s="4" t="s">
        <v>383</v>
      </c>
      <c r="C37" s="4" t="s">
        <v>393</v>
      </c>
      <c r="D37" s="4" t="s">
        <v>394</v>
      </c>
      <c r="E37" s="4" t="s">
        <v>16</v>
      </c>
      <c r="F37" s="4" t="n">
        <v>50</v>
      </c>
      <c r="G37" s="4" t="s">
        <v>277</v>
      </c>
    </row>
    <row r="38" customFormat="false" ht="15" hidden="false" customHeight="false" outlineLevel="0" collapsed="false">
      <c r="A38" s="4" t="s">
        <v>395</v>
      </c>
      <c r="B38" s="4" t="s">
        <v>383</v>
      </c>
      <c r="C38" s="4" t="s">
        <v>393</v>
      </c>
      <c r="D38" s="4" t="s">
        <v>396</v>
      </c>
      <c r="E38" s="4" t="s">
        <v>9</v>
      </c>
      <c r="F38" s="4" t="n">
        <v>40</v>
      </c>
      <c r="G38" s="4" t="s">
        <v>277</v>
      </c>
    </row>
    <row r="39" customFormat="false" ht="15" hidden="false" customHeight="false" outlineLevel="0" collapsed="false">
      <c r="A39" s="4" t="s">
        <v>397</v>
      </c>
      <c r="B39" s="4" t="s">
        <v>383</v>
      </c>
      <c r="C39" s="4" t="s">
        <v>398</v>
      </c>
      <c r="D39" s="4" t="s">
        <v>399</v>
      </c>
      <c r="E39" s="4" t="s">
        <v>9</v>
      </c>
      <c r="F39" s="4" t="n">
        <v>80</v>
      </c>
      <c r="G39" s="4" t="s">
        <v>277</v>
      </c>
    </row>
    <row r="40" customFormat="false" ht="15" hidden="false" customHeight="false" outlineLevel="0" collapsed="false">
      <c r="A40" s="4" t="s">
        <v>400</v>
      </c>
      <c r="B40" s="4" t="s">
        <v>383</v>
      </c>
      <c r="C40" s="4" t="s">
        <v>398</v>
      </c>
      <c r="D40" s="4" t="s">
        <v>401</v>
      </c>
      <c r="E40" s="4" t="s">
        <v>320</v>
      </c>
      <c r="F40" s="4" t="n">
        <v>50</v>
      </c>
      <c r="G40" s="4" t="s">
        <v>277</v>
      </c>
    </row>
    <row r="41" customFormat="false" ht="15" hidden="false" customHeight="false" outlineLevel="0" collapsed="false">
      <c r="A41" s="4" t="s">
        <v>402</v>
      </c>
      <c r="B41" s="4" t="s">
        <v>383</v>
      </c>
      <c r="C41" s="4" t="s">
        <v>403</v>
      </c>
      <c r="D41" s="4" t="s">
        <v>404</v>
      </c>
      <c r="E41" s="4" t="s">
        <v>320</v>
      </c>
      <c r="F41" s="4" t="n">
        <v>60</v>
      </c>
      <c r="G41" s="4" t="s">
        <v>277</v>
      </c>
    </row>
    <row r="42" customFormat="false" ht="15" hidden="false" customHeight="false" outlineLevel="0" collapsed="false">
      <c r="A42" s="4" t="s">
        <v>405</v>
      </c>
      <c r="B42" s="4" t="s">
        <v>383</v>
      </c>
      <c r="C42" s="4" t="s">
        <v>403</v>
      </c>
      <c r="D42" s="4" t="s">
        <v>406</v>
      </c>
      <c r="E42" s="4" t="s">
        <v>320</v>
      </c>
      <c r="F42" s="4" t="n">
        <v>45</v>
      </c>
      <c r="G42" s="4" t="s">
        <v>277</v>
      </c>
    </row>
    <row r="43" customFormat="false" ht="15" hidden="false" customHeight="false" outlineLevel="0" collapsed="false">
      <c r="A43" s="4" t="s">
        <v>407</v>
      </c>
      <c r="B43" s="4" t="s">
        <v>383</v>
      </c>
      <c r="C43" s="4" t="s">
        <v>408</v>
      </c>
      <c r="D43" s="4" t="s">
        <v>409</v>
      </c>
      <c r="E43" s="4" t="s">
        <v>9</v>
      </c>
      <c r="F43" s="4" t="n">
        <v>40</v>
      </c>
      <c r="G43" s="4" t="s">
        <v>277</v>
      </c>
    </row>
    <row r="44" customFormat="false" ht="15" hidden="false" customHeight="false" outlineLevel="0" collapsed="false">
      <c r="A44" s="4" t="s">
        <v>410</v>
      </c>
      <c r="B44" s="4" t="s">
        <v>383</v>
      </c>
      <c r="C44" s="4" t="s">
        <v>408</v>
      </c>
      <c r="D44" s="4" t="s">
        <v>411</v>
      </c>
      <c r="E44" s="4" t="s">
        <v>9</v>
      </c>
      <c r="F44" s="4" t="n">
        <v>50</v>
      </c>
      <c r="G44" s="4" t="s">
        <v>277</v>
      </c>
    </row>
    <row r="45" customFormat="false" ht="15" hidden="false" customHeight="false" outlineLevel="0" collapsed="false">
      <c r="A45" s="4" t="s">
        <v>412</v>
      </c>
      <c r="B45" s="4" t="s">
        <v>383</v>
      </c>
      <c r="C45" s="4" t="s">
        <v>383</v>
      </c>
      <c r="D45" s="4" t="s">
        <v>413</v>
      </c>
      <c r="E45" s="4" t="s">
        <v>320</v>
      </c>
      <c r="F45" s="4" t="n">
        <v>35</v>
      </c>
      <c r="G45" s="4" t="s">
        <v>277</v>
      </c>
    </row>
    <row r="46" customFormat="false" ht="15" hidden="false" customHeight="false" outlineLevel="0" collapsed="false">
      <c r="A46" s="4" t="s">
        <v>414</v>
      </c>
      <c r="B46" s="4" t="s">
        <v>415</v>
      </c>
      <c r="C46" s="4" t="s">
        <v>416</v>
      </c>
      <c r="D46" s="4" t="s">
        <v>417</v>
      </c>
      <c r="E46" s="4" t="s">
        <v>9</v>
      </c>
      <c r="F46" s="4" t="n">
        <v>90</v>
      </c>
      <c r="G46" s="4" t="s">
        <v>277</v>
      </c>
    </row>
    <row r="47" customFormat="false" ht="15" hidden="false" customHeight="false" outlineLevel="0" collapsed="false">
      <c r="A47" s="4" t="s">
        <v>418</v>
      </c>
      <c r="B47" s="4" t="s">
        <v>415</v>
      </c>
      <c r="C47" s="4" t="s">
        <v>416</v>
      </c>
      <c r="D47" s="4" t="s">
        <v>419</v>
      </c>
      <c r="E47" s="4" t="s">
        <v>16</v>
      </c>
      <c r="F47" s="4" t="n">
        <v>90</v>
      </c>
      <c r="G47" s="4" t="s">
        <v>277</v>
      </c>
    </row>
    <row r="48" customFormat="false" ht="15" hidden="false" customHeight="false" outlineLevel="0" collapsed="false">
      <c r="A48" s="4" t="s">
        <v>420</v>
      </c>
      <c r="B48" s="4" t="s">
        <v>415</v>
      </c>
      <c r="C48" s="4" t="s">
        <v>416</v>
      </c>
      <c r="D48" s="4" t="s">
        <v>421</v>
      </c>
      <c r="E48" s="4" t="s">
        <v>9</v>
      </c>
      <c r="F48" s="4" t="n">
        <v>50</v>
      </c>
      <c r="G48" s="4" t="s">
        <v>277</v>
      </c>
    </row>
    <row r="49" customFormat="false" ht="15" hidden="false" customHeight="false" outlineLevel="0" collapsed="false">
      <c r="A49" s="4" t="s">
        <v>422</v>
      </c>
      <c r="B49" s="4" t="s">
        <v>415</v>
      </c>
      <c r="C49" s="4" t="s">
        <v>423</v>
      </c>
      <c r="D49" s="4" t="s">
        <v>424</v>
      </c>
      <c r="E49" s="4" t="s">
        <v>320</v>
      </c>
      <c r="F49" s="4" t="n">
        <v>70</v>
      </c>
      <c r="G49" s="4" t="s">
        <v>277</v>
      </c>
    </row>
    <row r="50" customFormat="false" ht="15" hidden="false" customHeight="false" outlineLevel="0" collapsed="false">
      <c r="A50" s="4" t="s">
        <v>425</v>
      </c>
      <c r="B50" s="4" t="s">
        <v>415</v>
      </c>
      <c r="C50" s="4" t="s">
        <v>423</v>
      </c>
      <c r="D50" s="4" t="s">
        <v>426</v>
      </c>
      <c r="E50" s="4" t="s">
        <v>9</v>
      </c>
      <c r="F50" s="4" t="n">
        <v>80</v>
      </c>
      <c r="G50" s="4" t="s">
        <v>277</v>
      </c>
    </row>
    <row r="51" customFormat="false" ht="15" hidden="false" customHeight="false" outlineLevel="0" collapsed="false">
      <c r="A51" s="4" t="s">
        <v>427</v>
      </c>
      <c r="B51" s="4" t="s">
        <v>415</v>
      </c>
      <c r="C51" s="4" t="s">
        <v>428</v>
      </c>
      <c r="D51" s="4" t="s">
        <v>429</v>
      </c>
      <c r="E51" s="4" t="s">
        <v>320</v>
      </c>
      <c r="F51" s="4" t="n">
        <v>45</v>
      </c>
      <c r="G51" s="4" t="s">
        <v>277</v>
      </c>
    </row>
    <row r="52" customFormat="false" ht="15" hidden="false" customHeight="false" outlineLevel="0" collapsed="false">
      <c r="A52" s="4" t="s">
        <v>430</v>
      </c>
      <c r="B52" s="4" t="s">
        <v>415</v>
      </c>
      <c r="C52" s="4" t="s">
        <v>415</v>
      </c>
      <c r="D52" s="4" t="s">
        <v>431</v>
      </c>
      <c r="E52" s="4" t="s">
        <v>320</v>
      </c>
      <c r="F52" s="4" t="n">
        <v>120</v>
      </c>
      <c r="G52" s="4" t="s">
        <v>277</v>
      </c>
    </row>
    <row r="53" customFormat="false" ht="15" hidden="false" customHeight="false" outlineLevel="0" collapsed="false">
      <c r="A53" s="4" t="s">
        <v>432</v>
      </c>
      <c r="B53" s="4" t="s">
        <v>433</v>
      </c>
      <c r="C53" s="4" t="s">
        <v>433</v>
      </c>
      <c r="D53" s="4" t="s">
        <v>434</v>
      </c>
      <c r="E53" s="4" t="s">
        <v>320</v>
      </c>
      <c r="F53" s="4" t="n">
        <v>25</v>
      </c>
      <c r="G53" s="4" t="s">
        <v>277</v>
      </c>
    </row>
    <row r="54" customFormat="false" ht="15" hidden="false" customHeight="false" outlineLevel="0" collapsed="false">
      <c r="A54" s="4" t="s">
        <v>435</v>
      </c>
      <c r="B54" s="4" t="s">
        <v>433</v>
      </c>
      <c r="C54" s="4" t="s">
        <v>433</v>
      </c>
      <c r="D54" s="4" t="s">
        <v>436</v>
      </c>
      <c r="E54" s="4" t="s">
        <v>320</v>
      </c>
      <c r="F54" s="4" t="n">
        <v>30</v>
      </c>
      <c r="G54" s="4" t="s">
        <v>277</v>
      </c>
    </row>
    <row r="55" customFormat="false" ht="15" hidden="false" customHeight="false" outlineLevel="0" collapsed="false">
      <c r="A55" s="4" t="s">
        <v>437</v>
      </c>
      <c r="B55" s="4" t="s">
        <v>433</v>
      </c>
      <c r="C55" s="4" t="s">
        <v>433</v>
      </c>
      <c r="D55" s="4" t="s">
        <v>438</v>
      </c>
      <c r="E55" s="4" t="s">
        <v>320</v>
      </c>
      <c r="F55" s="4" t="n">
        <v>45</v>
      </c>
      <c r="G55" s="4" t="s">
        <v>277</v>
      </c>
    </row>
    <row r="56" customFormat="false" ht="15" hidden="false" customHeight="false" outlineLevel="0" collapsed="false">
      <c r="A56" s="4" t="s">
        <v>439</v>
      </c>
      <c r="B56" s="4" t="s">
        <v>433</v>
      </c>
      <c r="C56" s="4" t="s">
        <v>433</v>
      </c>
      <c r="D56" s="4" t="s">
        <v>440</v>
      </c>
      <c r="E56" s="4" t="s">
        <v>320</v>
      </c>
      <c r="F56" s="4" t="n">
        <v>40</v>
      </c>
      <c r="G56" s="4" t="s">
        <v>277</v>
      </c>
    </row>
    <row r="57" customFormat="false" ht="15" hidden="false" customHeight="false" outlineLevel="0" collapsed="false">
      <c r="A57" s="4" t="s">
        <v>441</v>
      </c>
      <c r="B57" s="4" t="s">
        <v>442</v>
      </c>
      <c r="C57" s="4" t="s">
        <v>442</v>
      </c>
      <c r="D57" s="4" t="s">
        <v>443</v>
      </c>
      <c r="E57" s="4" t="s">
        <v>320</v>
      </c>
      <c r="F57" s="4" t="n">
        <v>90</v>
      </c>
      <c r="G57" s="4" t="s">
        <v>277</v>
      </c>
    </row>
    <row r="58" customFormat="false" ht="15" hidden="false" customHeight="false" outlineLevel="0" collapsed="false">
      <c r="A58" s="4" t="s">
        <v>444</v>
      </c>
      <c r="B58" s="4" t="s">
        <v>442</v>
      </c>
      <c r="C58" s="4" t="s">
        <v>442</v>
      </c>
      <c r="D58" s="4" t="s">
        <v>445</v>
      </c>
      <c r="E58" s="4" t="s">
        <v>320</v>
      </c>
      <c r="F58" s="4" t="n">
        <v>150</v>
      </c>
      <c r="G58" s="4" t="s">
        <v>277</v>
      </c>
    </row>
    <row r="59" customFormat="false" ht="15" hidden="false" customHeight="false" outlineLevel="0" collapsed="false">
      <c r="A59" s="4" t="s">
        <v>446</v>
      </c>
      <c r="B59" s="4" t="s">
        <v>442</v>
      </c>
      <c r="C59" s="4" t="s">
        <v>442</v>
      </c>
      <c r="D59" s="4" t="s">
        <v>447</v>
      </c>
      <c r="E59" s="4" t="s">
        <v>320</v>
      </c>
      <c r="F59" s="4" t="n">
        <v>70</v>
      </c>
      <c r="G59" s="4" t="s">
        <v>277</v>
      </c>
    </row>
    <row r="60" customFormat="false" ht="15" hidden="false" customHeight="false" outlineLevel="0" collapsed="false">
      <c r="A60" s="4" t="s">
        <v>448</v>
      </c>
      <c r="B60" s="4" t="s">
        <v>449</v>
      </c>
      <c r="C60" s="4" t="s">
        <v>450</v>
      </c>
      <c r="D60" s="4" t="s">
        <v>451</v>
      </c>
      <c r="E60" s="4" t="s">
        <v>320</v>
      </c>
      <c r="F60" s="4" t="n">
        <v>35</v>
      </c>
      <c r="G60" s="4" t="s">
        <v>277</v>
      </c>
    </row>
    <row r="61" customFormat="false" ht="15" hidden="false" customHeight="false" outlineLevel="0" collapsed="false">
      <c r="A61" s="4" t="s">
        <v>452</v>
      </c>
      <c r="B61" s="4" t="s">
        <v>449</v>
      </c>
      <c r="C61" s="4" t="s">
        <v>450</v>
      </c>
      <c r="D61" s="4" t="s">
        <v>453</v>
      </c>
      <c r="E61" s="4" t="s">
        <v>320</v>
      </c>
      <c r="F61" s="4" t="n">
        <v>20</v>
      </c>
      <c r="G61" s="4" t="s">
        <v>277</v>
      </c>
    </row>
    <row r="62" customFormat="false" ht="15" hidden="false" customHeight="false" outlineLevel="0" collapsed="false">
      <c r="A62" s="4" t="s">
        <v>454</v>
      </c>
      <c r="B62" s="4" t="s">
        <v>449</v>
      </c>
      <c r="C62" s="4" t="s">
        <v>450</v>
      </c>
      <c r="D62" s="4" t="s">
        <v>455</v>
      </c>
      <c r="E62" s="4" t="s">
        <v>320</v>
      </c>
      <c r="F62" s="4" t="n">
        <v>45</v>
      </c>
      <c r="G62" s="4" t="s">
        <v>277</v>
      </c>
    </row>
    <row r="63" customFormat="false" ht="15" hidden="false" customHeight="false" outlineLevel="0" collapsed="false">
      <c r="A63" s="4" t="s">
        <v>456</v>
      </c>
      <c r="B63" s="4" t="s">
        <v>457</v>
      </c>
      <c r="C63" s="4" t="s">
        <v>457</v>
      </c>
      <c r="D63" s="4" t="s">
        <v>458</v>
      </c>
      <c r="E63" s="4" t="s">
        <v>9</v>
      </c>
      <c r="F63" s="4" t="n">
        <v>70</v>
      </c>
      <c r="G63" s="4" t="s">
        <v>277</v>
      </c>
    </row>
    <row r="64" customFormat="false" ht="15" hidden="false" customHeight="false" outlineLevel="0" collapsed="false">
      <c r="A64" s="4" t="s">
        <v>459</v>
      </c>
      <c r="B64" s="4" t="s">
        <v>457</v>
      </c>
      <c r="C64" s="4" t="s">
        <v>457</v>
      </c>
      <c r="D64" s="4" t="s">
        <v>460</v>
      </c>
      <c r="E64" s="4" t="s">
        <v>9</v>
      </c>
      <c r="F64" s="4" t="n">
        <v>120</v>
      </c>
      <c r="G64" s="4" t="s">
        <v>277</v>
      </c>
    </row>
    <row r="65" customFormat="false" ht="15" hidden="false" customHeight="false" outlineLevel="0" collapsed="false">
      <c r="A65" s="4" t="s">
        <v>461</v>
      </c>
      <c r="B65" s="4" t="s">
        <v>457</v>
      </c>
      <c r="C65" s="4" t="s">
        <v>457</v>
      </c>
      <c r="D65" s="4" t="s">
        <v>462</v>
      </c>
      <c r="E65" s="4" t="s">
        <v>320</v>
      </c>
      <c r="F65" s="4" t="n">
        <v>20</v>
      </c>
      <c r="G65" s="4" t="s">
        <v>277</v>
      </c>
    </row>
    <row r="66" customFormat="false" ht="15" hidden="false" customHeight="false" outlineLevel="0" collapsed="false">
      <c r="A66" s="4" t="s">
        <v>463</v>
      </c>
      <c r="B66" s="4" t="s">
        <v>457</v>
      </c>
      <c r="C66" s="4" t="s">
        <v>457</v>
      </c>
      <c r="D66" s="4" t="s">
        <v>464</v>
      </c>
      <c r="E66" s="4" t="s">
        <v>320</v>
      </c>
      <c r="F66" s="4" t="n">
        <v>120</v>
      </c>
      <c r="G66" s="4" t="s">
        <v>277</v>
      </c>
    </row>
    <row r="67" customFormat="false" ht="15" hidden="false" customHeight="false" outlineLevel="0" collapsed="false">
      <c r="A67" s="4" t="s">
        <v>465</v>
      </c>
      <c r="B67" s="4" t="s">
        <v>466</v>
      </c>
      <c r="C67" s="4" t="s">
        <v>467</v>
      </c>
      <c r="D67" s="4" t="s">
        <v>466</v>
      </c>
      <c r="E67" s="4" t="s">
        <v>320</v>
      </c>
      <c r="F67" s="4" t="n">
        <v>20</v>
      </c>
      <c r="G67" s="4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48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468</v>
      </c>
    </row>
    <row r="2" customFormat="false" ht="15" hidden="false" customHeight="false" outlineLevel="0" collapsed="false">
      <c r="A2" s="2" t="s">
        <v>469</v>
      </c>
    </row>
    <row r="4" customFormat="false" ht="15" hidden="false" customHeight="false" outlineLevel="0" collapsed="false">
      <c r="A4" s="3" t="s">
        <v>266</v>
      </c>
      <c r="B4" s="3" t="s">
        <v>4</v>
      </c>
      <c r="C4" s="3" t="s">
        <v>53</v>
      </c>
      <c r="D4" s="3" t="s">
        <v>311</v>
      </c>
      <c r="E4" s="3" t="s">
        <v>470</v>
      </c>
    </row>
    <row r="5" customFormat="false" ht="15" hidden="false" customHeight="false" outlineLevel="0" collapsed="false">
      <c r="A5" s="4" t="s">
        <v>471</v>
      </c>
      <c r="B5" s="4" t="s">
        <v>9</v>
      </c>
      <c r="C5" s="4" t="s">
        <v>472</v>
      </c>
      <c r="D5" s="4" t="s">
        <v>473</v>
      </c>
      <c r="E5" s="4" t="s">
        <v>474</v>
      </c>
    </row>
    <row r="6" customFormat="false" ht="15" hidden="false" customHeight="false" outlineLevel="0" collapsed="false">
      <c r="A6" s="4" t="s">
        <v>475</v>
      </c>
      <c r="B6" s="4" t="s">
        <v>9</v>
      </c>
      <c r="C6" s="4" t="s">
        <v>472</v>
      </c>
      <c r="D6" s="4" t="s">
        <v>476</v>
      </c>
      <c r="E6" s="4" t="s">
        <v>477</v>
      </c>
    </row>
    <row r="7" customFormat="false" ht="15" hidden="false" customHeight="false" outlineLevel="0" collapsed="false">
      <c r="A7" s="4" t="s">
        <v>478</v>
      </c>
      <c r="B7" s="4" t="s">
        <v>9</v>
      </c>
      <c r="C7" s="4" t="s">
        <v>479</v>
      </c>
      <c r="D7" s="4" t="s">
        <v>480</v>
      </c>
      <c r="E7" s="4" t="s">
        <v>481</v>
      </c>
    </row>
    <row r="8" customFormat="false" ht="15" hidden="false" customHeight="false" outlineLevel="0" collapsed="false">
      <c r="A8" s="4" t="s">
        <v>482</v>
      </c>
      <c r="B8" s="4" t="s">
        <v>9</v>
      </c>
      <c r="C8" s="4" t="s">
        <v>483</v>
      </c>
      <c r="D8" s="4" t="s">
        <v>484</v>
      </c>
      <c r="E8" s="4" t="s">
        <v>485</v>
      </c>
    </row>
    <row r="9" customFormat="false" ht="15" hidden="false" customHeight="false" outlineLevel="0" collapsed="false">
      <c r="A9" s="4" t="s">
        <v>486</v>
      </c>
      <c r="B9" s="4" t="s">
        <v>9</v>
      </c>
      <c r="C9" s="4" t="s">
        <v>487</v>
      </c>
      <c r="D9" s="4" t="s">
        <v>488</v>
      </c>
      <c r="E9" s="4" t="s">
        <v>489</v>
      </c>
    </row>
    <row r="10" customFormat="false" ht="15" hidden="false" customHeight="false" outlineLevel="0" collapsed="false">
      <c r="A10" s="4" t="s">
        <v>490</v>
      </c>
      <c r="B10" s="4" t="s">
        <v>9</v>
      </c>
      <c r="C10" s="4" t="s">
        <v>487</v>
      </c>
      <c r="D10" s="4" t="s">
        <v>491</v>
      </c>
      <c r="E10" s="4" t="s">
        <v>492</v>
      </c>
    </row>
    <row r="11" customFormat="false" ht="15" hidden="false" customHeight="false" outlineLevel="0" collapsed="false">
      <c r="A11" s="4" t="s">
        <v>493</v>
      </c>
      <c r="B11" s="4" t="s">
        <v>9</v>
      </c>
      <c r="C11" s="4" t="s">
        <v>487</v>
      </c>
      <c r="D11" s="4" t="s">
        <v>494</v>
      </c>
      <c r="E11" s="4" t="s">
        <v>495</v>
      </c>
    </row>
    <row r="12" customFormat="false" ht="15" hidden="false" customHeight="false" outlineLevel="0" collapsed="false">
      <c r="A12" s="4" t="s">
        <v>496</v>
      </c>
      <c r="B12" s="4" t="s">
        <v>9</v>
      </c>
      <c r="C12" s="4" t="s">
        <v>497</v>
      </c>
      <c r="D12" s="4" t="s">
        <v>498</v>
      </c>
      <c r="E12" s="4" t="s">
        <v>499</v>
      </c>
    </row>
    <row r="13" customFormat="false" ht="15" hidden="false" customHeight="false" outlineLevel="0" collapsed="false">
      <c r="A13" s="4" t="s">
        <v>500</v>
      </c>
      <c r="B13" s="4" t="s">
        <v>9</v>
      </c>
      <c r="C13" s="4" t="s">
        <v>497</v>
      </c>
      <c r="D13" s="4" t="s">
        <v>501</v>
      </c>
      <c r="E13" s="4" t="s">
        <v>499</v>
      </c>
    </row>
    <row r="14" customFormat="false" ht="15" hidden="false" customHeight="false" outlineLevel="0" collapsed="false">
      <c r="A14" s="4" t="s">
        <v>502</v>
      </c>
      <c r="B14" s="4" t="s">
        <v>9</v>
      </c>
      <c r="C14" s="4" t="s">
        <v>503</v>
      </c>
      <c r="D14" s="4" t="s">
        <v>504</v>
      </c>
      <c r="E14" s="4" t="s">
        <v>505</v>
      </c>
    </row>
    <row r="15" customFormat="false" ht="15" hidden="false" customHeight="false" outlineLevel="0" collapsed="false">
      <c r="A15" s="4" t="s">
        <v>506</v>
      </c>
      <c r="B15" s="4" t="s">
        <v>9</v>
      </c>
      <c r="C15" s="4" t="s">
        <v>503</v>
      </c>
      <c r="D15" s="4" t="s">
        <v>507</v>
      </c>
      <c r="E15" s="4" t="s">
        <v>477</v>
      </c>
    </row>
    <row r="16" customFormat="false" ht="15" hidden="false" customHeight="false" outlineLevel="0" collapsed="false">
      <c r="A16" s="4" t="s">
        <v>508</v>
      </c>
      <c r="B16" s="4" t="s">
        <v>9</v>
      </c>
      <c r="C16" s="4" t="s">
        <v>509</v>
      </c>
      <c r="D16" s="4" t="s">
        <v>510</v>
      </c>
      <c r="E16" s="4" t="s">
        <v>495</v>
      </c>
    </row>
    <row r="17" customFormat="false" ht="15" hidden="false" customHeight="false" outlineLevel="0" collapsed="false">
      <c r="A17" s="4" t="s">
        <v>511</v>
      </c>
      <c r="B17" s="4" t="s">
        <v>9</v>
      </c>
      <c r="C17" s="4" t="s">
        <v>509</v>
      </c>
      <c r="D17" s="4" t="s">
        <v>512</v>
      </c>
      <c r="E17" s="4" t="s">
        <v>495</v>
      </c>
    </row>
    <row r="18" customFormat="false" ht="15" hidden="false" customHeight="false" outlineLevel="0" collapsed="false">
      <c r="A18" s="4" t="s">
        <v>513</v>
      </c>
      <c r="B18" s="4" t="s">
        <v>9</v>
      </c>
      <c r="C18" s="4" t="s">
        <v>509</v>
      </c>
      <c r="D18" s="4" t="s">
        <v>514</v>
      </c>
      <c r="E18" s="4" t="s">
        <v>515</v>
      </c>
    </row>
    <row r="19" customFormat="false" ht="15" hidden="false" customHeight="false" outlineLevel="0" collapsed="false">
      <c r="A19" s="4" t="s">
        <v>516</v>
      </c>
      <c r="B19" s="4" t="s">
        <v>16</v>
      </c>
      <c r="C19" s="4" t="s">
        <v>517</v>
      </c>
      <c r="D19" s="4" t="s">
        <v>518</v>
      </c>
      <c r="E19" s="4" t="s">
        <v>519</v>
      </c>
    </row>
    <row r="20" customFormat="false" ht="15" hidden="false" customHeight="false" outlineLevel="0" collapsed="false">
      <c r="A20" s="4" t="s">
        <v>520</v>
      </c>
      <c r="B20" s="4" t="s">
        <v>16</v>
      </c>
      <c r="C20" s="4" t="s">
        <v>521</v>
      </c>
      <c r="D20" s="4" t="s">
        <v>522</v>
      </c>
      <c r="E20" s="4" t="s">
        <v>523</v>
      </c>
    </row>
    <row r="21" customFormat="false" ht="15" hidden="false" customHeight="false" outlineLevel="0" collapsed="false">
      <c r="A21" s="4" t="s">
        <v>524</v>
      </c>
      <c r="B21" s="4" t="s">
        <v>16</v>
      </c>
      <c r="C21" s="4" t="s">
        <v>525</v>
      </c>
      <c r="D21" s="4" t="s">
        <v>526</v>
      </c>
      <c r="E21" s="4" t="s">
        <v>527</v>
      </c>
    </row>
    <row r="22" customFormat="false" ht="15" hidden="false" customHeight="false" outlineLevel="0" collapsed="false">
      <c r="A22" s="4" t="s">
        <v>528</v>
      </c>
      <c r="B22" s="4" t="s">
        <v>16</v>
      </c>
      <c r="C22" s="4" t="s">
        <v>525</v>
      </c>
      <c r="D22" s="4" t="s">
        <v>529</v>
      </c>
      <c r="E22" s="4" t="s">
        <v>530</v>
      </c>
    </row>
    <row r="23" customFormat="false" ht="15" hidden="false" customHeight="false" outlineLevel="0" collapsed="false">
      <c r="A23" s="4" t="s">
        <v>531</v>
      </c>
      <c r="B23" s="4" t="s">
        <v>16</v>
      </c>
      <c r="C23" s="4" t="s">
        <v>525</v>
      </c>
      <c r="D23" s="4" t="s">
        <v>532</v>
      </c>
      <c r="E23" s="4" t="s">
        <v>533</v>
      </c>
    </row>
    <row r="24" customFormat="false" ht="15" hidden="false" customHeight="false" outlineLevel="0" collapsed="false">
      <c r="A24" s="4" t="s">
        <v>534</v>
      </c>
      <c r="B24" s="4" t="s">
        <v>16</v>
      </c>
      <c r="C24" s="4" t="s">
        <v>535</v>
      </c>
      <c r="D24" s="4" t="s">
        <v>536</v>
      </c>
      <c r="E24" s="4" t="s">
        <v>489</v>
      </c>
    </row>
    <row r="25" customFormat="false" ht="15" hidden="false" customHeight="false" outlineLevel="0" collapsed="false">
      <c r="A25" s="4" t="s">
        <v>537</v>
      </c>
      <c r="B25" s="4" t="s">
        <v>16</v>
      </c>
      <c r="C25" s="4" t="s">
        <v>535</v>
      </c>
      <c r="D25" s="4" t="s">
        <v>538</v>
      </c>
      <c r="E25" s="4" t="s">
        <v>539</v>
      </c>
    </row>
    <row r="26" customFormat="false" ht="15" hidden="false" customHeight="false" outlineLevel="0" collapsed="false">
      <c r="A26" s="4" t="s">
        <v>540</v>
      </c>
      <c r="B26" s="4" t="s">
        <v>16</v>
      </c>
      <c r="C26" s="4" t="s">
        <v>535</v>
      </c>
      <c r="D26" s="4" t="s">
        <v>541</v>
      </c>
      <c r="E26" s="4" t="s">
        <v>542</v>
      </c>
    </row>
    <row r="27" customFormat="false" ht="15" hidden="false" customHeight="false" outlineLevel="0" collapsed="false">
      <c r="A27" s="4" t="s">
        <v>543</v>
      </c>
      <c r="B27" s="4" t="s">
        <v>16</v>
      </c>
      <c r="C27" s="4" t="s">
        <v>544</v>
      </c>
      <c r="D27" s="4" t="s">
        <v>545</v>
      </c>
      <c r="E27" s="4" t="s">
        <v>546</v>
      </c>
    </row>
    <row r="28" customFormat="false" ht="15" hidden="false" customHeight="false" outlineLevel="0" collapsed="false">
      <c r="A28" s="4" t="s">
        <v>547</v>
      </c>
      <c r="B28" s="4" t="s">
        <v>16</v>
      </c>
      <c r="C28" s="4" t="s">
        <v>544</v>
      </c>
      <c r="D28" s="4" t="s">
        <v>548</v>
      </c>
      <c r="E28" s="4" t="s">
        <v>549</v>
      </c>
    </row>
    <row r="29" customFormat="false" ht="15" hidden="false" customHeight="false" outlineLevel="0" collapsed="false">
      <c r="A29" s="4" t="s">
        <v>550</v>
      </c>
      <c r="B29" s="4" t="s">
        <v>16</v>
      </c>
      <c r="C29" s="4" t="s">
        <v>544</v>
      </c>
      <c r="D29" s="4" t="s">
        <v>551</v>
      </c>
      <c r="E29" s="4" t="s">
        <v>552</v>
      </c>
    </row>
    <row r="30" customFormat="false" ht="15" hidden="false" customHeight="false" outlineLevel="0" collapsed="false">
      <c r="A30" s="4" t="s">
        <v>553</v>
      </c>
      <c r="B30" s="4" t="s">
        <v>16</v>
      </c>
      <c r="C30" s="4" t="s">
        <v>554</v>
      </c>
      <c r="D30" s="4" t="s">
        <v>501</v>
      </c>
      <c r="E30" s="4" t="s">
        <v>499</v>
      </c>
    </row>
    <row r="31" customFormat="false" ht="15" hidden="false" customHeight="false" outlineLevel="0" collapsed="false">
      <c r="A31" s="4" t="s">
        <v>555</v>
      </c>
      <c r="B31" s="4" t="s">
        <v>16</v>
      </c>
      <c r="C31" s="4" t="s">
        <v>554</v>
      </c>
      <c r="D31" s="4" t="s">
        <v>556</v>
      </c>
      <c r="E31" s="4" t="s">
        <v>495</v>
      </c>
    </row>
    <row r="32" customFormat="false" ht="15" hidden="false" customHeight="false" outlineLevel="0" collapsed="false">
      <c r="A32" s="4" t="s">
        <v>557</v>
      </c>
      <c r="B32" s="4" t="s">
        <v>16</v>
      </c>
      <c r="C32" s="4" t="s">
        <v>558</v>
      </c>
      <c r="D32" s="4" t="s">
        <v>559</v>
      </c>
      <c r="E32" s="4" t="s">
        <v>515</v>
      </c>
    </row>
    <row r="33" customFormat="false" ht="15" hidden="false" customHeight="false" outlineLevel="0" collapsed="false">
      <c r="A33" s="4" t="s">
        <v>560</v>
      </c>
      <c r="B33" s="4" t="s">
        <v>16</v>
      </c>
      <c r="C33" s="4" t="s">
        <v>558</v>
      </c>
      <c r="D33" s="4" t="s">
        <v>561</v>
      </c>
      <c r="E33" s="4" t="s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4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563</v>
      </c>
    </row>
    <row r="2" customFormat="false" ht="15" hidden="false" customHeight="false" outlineLevel="0" collapsed="false">
      <c r="A2" s="2" t="s">
        <v>564</v>
      </c>
    </row>
    <row r="4" customFormat="false" ht="23.85" hidden="false" customHeight="false" outlineLevel="0" collapsed="false">
      <c r="A4" s="3" t="s">
        <v>565</v>
      </c>
      <c r="B4" s="3" t="s">
        <v>566</v>
      </c>
      <c r="C4" s="3" t="s">
        <v>567</v>
      </c>
      <c r="D4" s="3" t="s">
        <v>568</v>
      </c>
      <c r="E4" s="3" t="s">
        <v>569</v>
      </c>
      <c r="F4" s="3" t="s">
        <v>570</v>
      </c>
      <c r="G4" s="3" t="s">
        <v>571</v>
      </c>
      <c r="H4" s="3" t="s">
        <v>572</v>
      </c>
    </row>
    <row r="5" customFormat="false" ht="15" hidden="false" customHeight="false" outlineLevel="0" collapsed="false">
      <c r="A5" s="4" t="s">
        <v>126</v>
      </c>
      <c r="B5" s="4" t="s">
        <v>573</v>
      </c>
      <c r="C5" s="4" t="s">
        <v>574</v>
      </c>
      <c r="D5" s="4" t="s">
        <v>575</v>
      </c>
      <c r="E5" s="4" t="s">
        <v>576</v>
      </c>
      <c r="F5" s="4" t="n">
        <v>2</v>
      </c>
      <c r="G5" s="4" t="s">
        <v>119</v>
      </c>
      <c r="H5" s="4" t="s">
        <v>577</v>
      </c>
    </row>
    <row r="6" customFormat="false" ht="15" hidden="false" customHeight="false" outlineLevel="0" collapsed="false">
      <c r="A6" s="4" t="s">
        <v>132</v>
      </c>
      <c r="B6" s="4" t="s">
        <v>578</v>
      </c>
      <c r="C6" s="4" t="s">
        <v>574</v>
      </c>
      <c r="D6" s="4" t="s">
        <v>575</v>
      </c>
      <c r="E6" s="4" t="s">
        <v>576</v>
      </c>
      <c r="F6" s="4" t="n">
        <v>2</v>
      </c>
      <c r="G6" s="4" t="s">
        <v>127</v>
      </c>
      <c r="H6" s="4" t="s">
        <v>577</v>
      </c>
    </row>
    <row r="7" customFormat="false" ht="15" hidden="false" customHeight="false" outlineLevel="0" collapsed="false">
      <c r="A7" s="4" t="s">
        <v>139</v>
      </c>
      <c r="B7" s="4" t="s">
        <v>579</v>
      </c>
      <c r="C7" s="4" t="s">
        <v>580</v>
      </c>
      <c r="D7" s="4" t="s">
        <v>581</v>
      </c>
      <c r="E7" s="4" t="s">
        <v>96</v>
      </c>
      <c r="F7" s="4"/>
      <c r="G7" s="4" t="s">
        <v>582</v>
      </c>
      <c r="H7" s="4" t="s">
        <v>577</v>
      </c>
    </row>
    <row r="8" customFormat="false" ht="15" hidden="false" customHeight="false" outlineLevel="0" collapsed="false">
      <c r="A8" s="4" t="s">
        <v>154</v>
      </c>
      <c r="B8" s="4" t="s">
        <v>583</v>
      </c>
      <c r="C8" s="4" t="s">
        <v>584</v>
      </c>
      <c r="D8" s="4" t="s">
        <v>585</v>
      </c>
      <c r="E8" s="4" t="s">
        <v>96</v>
      </c>
      <c r="F8" s="4"/>
      <c r="G8" s="4" t="s">
        <v>586</v>
      </c>
      <c r="H8" s="4" t="s">
        <v>577</v>
      </c>
    </row>
    <row r="9" customFormat="false" ht="15" hidden="false" customHeight="false" outlineLevel="0" collapsed="false">
      <c r="A9" s="4" t="s">
        <v>73</v>
      </c>
      <c r="B9" s="4" t="s">
        <v>587</v>
      </c>
      <c r="C9" s="4" t="s">
        <v>588</v>
      </c>
      <c r="D9" s="4" t="s">
        <v>589</v>
      </c>
      <c r="E9" s="4" t="s">
        <v>96</v>
      </c>
      <c r="F9" s="4"/>
      <c r="G9" s="4" t="s">
        <v>590</v>
      </c>
      <c r="H9" s="4" t="s">
        <v>591</v>
      </c>
    </row>
    <row r="10" customFormat="false" ht="15" hidden="false" customHeight="false" outlineLevel="0" collapsed="false">
      <c r="A10" s="4" t="s">
        <v>87</v>
      </c>
      <c r="B10" s="4" t="s">
        <v>592</v>
      </c>
      <c r="C10" s="4" t="s">
        <v>588</v>
      </c>
      <c r="D10" s="4" t="s">
        <v>589</v>
      </c>
      <c r="E10" s="4" t="s">
        <v>576</v>
      </c>
      <c r="F10" s="4" t="n">
        <v>4</v>
      </c>
      <c r="G10" s="4" t="s">
        <v>593</v>
      </c>
      <c r="H10" s="4" t="s">
        <v>591</v>
      </c>
    </row>
    <row r="11" customFormat="false" ht="15" hidden="false" customHeight="false" outlineLevel="0" collapsed="false">
      <c r="A11" s="4" t="s">
        <v>101</v>
      </c>
      <c r="B11" s="4" t="s">
        <v>594</v>
      </c>
      <c r="C11" s="4" t="s">
        <v>588</v>
      </c>
      <c r="D11" s="4" t="s">
        <v>589</v>
      </c>
      <c r="E11" s="4" t="s">
        <v>96</v>
      </c>
      <c r="F11" s="4"/>
      <c r="G11" s="4" t="s">
        <v>595</v>
      </c>
      <c r="H11" s="4" t="s">
        <v>591</v>
      </c>
    </row>
    <row r="12" customFormat="false" ht="15" hidden="false" customHeight="false" outlineLevel="0" collapsed="false">
      <c r="A12" s="4" t="s">
        <v>596</v>
      </c>
      <c r="B12" s="4" t="s">
        <v>597</v>
      </c>
      <c r="C12" s="4" t="s">
        <v>588</v>
      </c>
      <c r="D12" s="4" t="s">
        <v>589</v>
      </c>
      <c r="E12" s="4" t="s">
        <v>598</v>
      </c>
      <c r="F12" s="4"/>
      <c r="G12" s="4" t="s">
        <v>104</v>
      </c>
      <c r="H12" s="4" t="s">
        <v>591</v>
      </c>
    </row>
    <row r="13" customFormat="false" ht="15" hidden="false" customHeight="false" outlineLevel="0" collapsed="false">
      <c r="A13" s="4" t="s">
        <v>115</v>
      </c>
      <c r="B13" s="4" t="s">
        <v>599</v>
      </c>
      <c r="C13" s="4" t="s">
        <v>588</v>
      </c>
      <c r="D13" s="4" t="s">
        <v>589</v>
      </c>
      <c r="E13" s="4" t="s">
        <v>96</v>
      </c>
      <c r="F13" s="4"/>
      <c r="G13" s="4" t="s">
        <v>600</v>
      </c>
      <c r="H13" s="4" t="s">
        <v>591</v>
      </c>
    </row>
    <row r="14" customFormat="false" ht="15" hidden="false" customHeight="false" outlineLevel="0" collapsed="false">
      <c r="A14" s="4" t="s">
        <v>601</v>
      </c>
      <c r="B14" s="4" t="s">
        <v>602</v>
      </c>
      <c r="C14" s="4" t="s">
        <v>588</v>
      </c>
      <c r="D14" s="4" t="s">
        <v>589</v>
      </c>
      <c r="E14" s="4" t="s">
        <v>603</v>
      </c>
      <c r="F14" s="4"/>
      <c r="G14" s="4"/>
      <c r="H14" s="4" t="s">
        <v>591</v>
      </c>
    </row>
    <row r="15" customFormat="false" ht="15" hidden="false" customHeight="false" outlineLevel="0" collapsed="false">
      <c r="A15" s="4" t="s">
        <v>604</v>
      </c>
      <c r="B15" s="4" t="s">
        <v>605</v>
      </c>
      <c r="C15" s="4" t="s">
        <v>588</v>
      </c>
      <c r="D15" s="4" t="s">
        <v>589</v>
      </c>
      <c r="E15" s="4" t="s">
        <v>606</v>
      </c>
      <c r="F15" s="4"/>
      <c r="G15" s="4"/>
      <c r="H15" s="4" t="s">
        <v>591</v>
      </c>
    </row>
    <row r="16" customFormat="false" ht="15" hidden="false" customHeight="false" outlineLevel="0" collapsed="false">
      <c r="A16" s="4" t="s">
        <v>607</v>
      </c>
      <c r="B16" s="4" t="s">
        <v>608</v>
      </c>
      <c r="C16" s="4" t="s">
        <v>588</v>
      </c>
      <c r="D16" s="4" t="s">
        <v>589</v>
      </c>
      <c r="E16" s="4" t="s">
        <v>598</v>
      </c>
      <c r="F16" s="4"/>
      <c r="G16" s="4"/>
      <c r="H16" s="4" t="s">
        <v>591</v>
      </c>
    </row>
    <row r="17" customFormat="false" ht="15" hidden="false" customHeight="false" outlineLevel="0" collapsed="false">
      <c r="A17" s="4" t="s">
        <v>609</v>
      </c>
      <c r="B17" s="4" t="s">
        <v>610</v>
      </c>
      <c r="C17" s="4" t="s">
        <v>588</v>
      </c>
      <c r="D17" s="4" t="s">
        <v>589</v>
      </c>
      <c r="E17" s="4" t="s">
        <v>606</v>
      </c>
      <c r="F17" s="4"/>
      <c r="G17" s="4" t="s">
        <v>88</v>
      </c>
      <c r="H17" s="4" t="s">
        <v>591</v>
      </c>
    </row>
    <row r="18" customFormat="false" ht="15" hidden="false" customHeight="false" outlineLevel="0" collapsed="false">
      <c r="A18" s="4" t="s">
        <v>611</v>
      </c>
      <c r="B18" s="4" t="s">
        <v>612</v>
      </c>
      <c r="C18" s="4" t="s">
        <v>588</v>
      </c>
      <c r="D18" s="4" t="s">
        <v>589</v>
      </c>
      <c r="E18" s="4" t="s">
        <v>598</v>
      </c>
      <c r="F18" s="4"/>
      <c r="G18" s="4"/>
      <c r="H18" s="4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6" min="6" style="0" width="34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5"/>
    <col collapsed="false" customWidth="true" hidden="false" outlineLevel="0" max="12" min="12" style="0" width="18"/>
    <col collapsed="false" customWidth="true" hidden="false" outlineLevel="0" max="13" min="13" style="0" width="20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6" t="s">
        <v>613</v>
      </c>
    </row>
    <row r="2" customFormat="false" ht="15" hidden="false" customHeight="false" outlineLevel="0" collapsed="false">
      <c r="A2" s="7" t="s">
        <v>614</v>
      </c>
    </row>
    <row r="4" customFormat="false" ht="23.85" hidden="false" customHeight="false" outlineLevel="0" collapsed="false">
      <c r="A4" s="3" t="s">
        <v>565</v>
      </c>
      <c r="B4" s="3" t="s">
        <v>615</v>
      </c>
      <c r="C4" s="3" t="s">
        <v>616</v>
      </c>
      <c r="D4" s="3" t="s">
        <v>617</v>
      </c>
      <c r="E4" s="3" t="s">
        <v>618</v>
      </c>
      <c r="F4" s="3" t="s">
        <v>619</v>
      </c>
      <c r="G4" s="3" t="s">
        <v>620</v>
      </c>
      <c r="H4" s="3" t="s">
        <v>621</v>
      </c>
      <c r="I4" s="3" t="s">
        <v>172</v>
      </c>
      <c r="J4" s="3" t="s">
        <v>171</v>
      </c>
      <c r="K4" s="3" t="s">
        <v>622</v>
      </c>
      <c r="L4" s="3" t="s">
        <v>623</v>
      </c>
      <c r="M4" s="3" t="s">
        <v>181</v>
      </c>
      <c r="N4" s="3" t="s">
        <v>624</v>
      </c>
    </row>
    <row r="5" customFormat="false" ht="15" hidden="false" customHeight="false" outlineLevel="0" collapsed="false">
      <c r="A5" s="4" t="s">
        <v>126</v>
      </c>
      <c r="B5" s="4" t="s">
        <v>573</v>
      </c>
      <c r="C5" s="4" t="s">
        <v>625</v>
      </c>
      <c r="D5" s="4"/>
      <c r="E5" s="4" t="s">
        <v>626</v>
      </c>
      <c r="F5" s="4" t="s">
        <v>627</v>
      </c>
      <c r="G5" s="4" t="s">
        <v>628</v>
      </c>
      <c r="H5" s="4" t="s">
        <v>629</v>
      </c>
      <c r="I5" s="4" t="s">
        <v>630</v>
      </c>
      <c r="J5" s="4"/>
      <c r="K5" s="4" t="s">
        <v>631</v>
      </c>
      <c r="L5" s="4"/>
      <c r="M5" s="4"/>
      <c r="N5" s="4" t="s">
        <v>632</v>
      </c>
    </row>
    <row r="6" customFormat="false" ht="15" hidden="false" customHeight="false" outlineLevel="0" collapsed="false">
      <c r="A6" s="4" t="s">
        <v>126</v>
      </c>
      <c r="B6" s="4" t="s">
        <v>573</v>
      </c>
      <c r="C6" s="4" t="s">
        <v>625</v>
      </c>
      <c r="D6" s="4"/>
      <c r="E6" s="4" t="s">
        <v>633</v>
      </c>
      <c r="F6" s="4" t="s">
        <v>634</v>
      </c>
      <c r="G6" s="4" t="s">
        <v>635</v>
      </c>
      <c r="H6" s="4" t="s">
        <v>629</v>
      </c>
      <c r="I6" s="4" t="s">
        <v>630</v>
      </c>
      <c r="J6" s="4"/>
      <c r="K6" s="4" t="s">
        <v>631</v>
      </c>
      <c r="L6" s="4"/>
      <c r="M6" s="4"/>
      <c r="N6" s="4"/>
    </row>
    <row r="7" customFormat="false" ht="15" hidden="false" customHeight="false" outlineLevel="0" collapsed="false">
      <c r="A7" s="4" t="s">
        <v>126</v>
      </c>
      <c r="B7" s="4" t="s">
        <v>573</v>
      </c>
      <c r="C7" s="4" t="s">
        <v>625</v>
      </c>
      <c r="D7" s="4"/>
      <c r="E7" s="4" t="s">
        <v>636</v>
      </c>
      <c r="F7" s="4" t="s">
        <v>340</v>
      </c>
      <c r="G7" s="4" t="s">
        <v>637</v>
      </c>
      <c r="H7" s="4" t="s">
        <v>638</v>
      </c>
      <c r="I7" s="4" t="s">
        <v>214</v>
      </c>
      <c r="J7" s="4"/>
      <c r="K7" s="4" t="s">
        <v>631</v>
      </c>
      <c r="L7" s="4"/>
      <c r="M7" s="4"/>
      <c r="N7" s="4"/>
    </row>
    <row r="8" customFormat="false" ht="15" hidden="false" customHeight="false" outlineLevel="0" collapsed="false">
      <c r="A8" s="4" t="s">
        <v>126</v>
      </c>
      <c r="B8" s="4" t="s">
        <v>573</v>
      </c>
      <c r="C8" s="4" t="s">
        <v>625</v>
      </c>
      <c r="D8" s="4"/>
      <c r="E8" s="4" t="s">
        <v>639</v>
      </c>
      <c r="F8" s="4" t="s">
        <v>640</v>
      </c>
      <c r="G8" s="4" t="s">
        <v>641</v>
      </c>
      <c r="H8" s="4" t="s">
        <v>642</v>
      </c>
      <c r="I8" s="4" t="s">
        <v>214</v>
      </c>
      <c r="J8" s="4"/>
      <c r="K8" s="4" t="s">
        <v>631</v>
      </c>
      <c r="L8" s="4"/>
      <c r="M8" s="4"/>
      <c r="N8" s="4" t="s">
        <v>643</v>
      </c>
    </row>
    <row r="9" customFormat="false" ht="23.85" hidden="false" customHeight="false" outlineLevel="0" collapsed="false">
      <c r="A9" s="4" t="s">
        <v>126</v>
      </c>
      <c r="B9" s="4" t="s">
        <v>573</v>
      </c>
      <c r="C9" s="4" t="s">
        <v>644</v>
      </c>
      <c r="D9" s="4"/>
      <c r="E9" s="4" t="s">
        <v>645</v>
      </c>
      <c r="F9" s="4" t="s">
        <v>646</v>
      </c>
      <c r="G9" s="4" t="s">
        <v>647</v>
      </c>
      <c r="H9" s="4" t="s">
        <v>648</v>
      </c>
      <c r="I9" s="4" t="s">
        <v>227</v>
      </c>
      <c r="J9" s="4"/>
      <c r="K9" s="4" t="s">
        <v>631</v>
      </c>
      <c r="L9" s="4"/>
      <c r="M9" s="4"/>
      <c r="N9" s="4"/>
    </row>
    <row r="10" customFormat="false" ht="15" hidden="false" customHeight="false" outlineLevel="0" collapsed="false">
      <c r="A10" s="4" t="s">
        <v>126</v>
      </c>
      <c r="B10" s="4" t="s">
        <v>573</v>
      </c>
      <c r="C10" s="4" t="s">
        <v>644</v>
      </c>
      <c r="D10" s="4"/>
      <c r="E10" s="4" t="s">
        <v>649</v>
      </c>
      <c r="F10" s="4" t="s">
        <v>650</v>
      </c>
      <c r="G10" s="4" t="s">
        <v>647</v>
      </c>
      <c r="H10" s="4" t="s">
        <v>648</v>
      </c>
      <c r="I10" s="4" t="s">
        <v>227</v>
      </c>
      <c r="J10" s="4"/>
      <c r="K10" s="4" t="s">
        <v>631</v>
      </c>
      <c r="L10" s="4"/>
      <c r="M10" s="4"/>
      <c r="N10" s="4"/>
    </row>
    <row r="11" customFormat="false" ht="15" hidden="false" customHeight="false" outlineLevel="0" collapsed="false">
      <c r="A11" s="4" t="s">
        <v>126</v>
      </c>
      <c r="B11" s="4" t="s">
        <v>573</v>
      </c>
      <c r="C11" s="4" t="s">
        <v>644</v>
      </c>
      <c r="D11" s="4"/>
      <c r="E11" s="4" t="s">
        <v>651</v>
      </c>
      <c r="F11" s="4" t="s">
        <v>652</v>
      </c>
      <c r="G11" s="4" t="s">
        <v>641</v>
      </c>
      <c r="H11" s="4" t="s">
        <v>648</v>
      </c>
      <c r="I11" s="4" t="s">
        <v>227</v>
      </c>
      <c r="J11" s="4"/>
      <c r="K11" s="4" t="s">
        <v>631</v>
      </c>
      <c r="L11" s="4"/>
      <c r="M11" s="4"/>
      <c r="N11" s="4"/>
    </row>
    <row r="12" customFormat="false" ht="23.85" hidden="false" customHeight="false" outlineLevel="0" collapsed="false">
      <c r="A12" s="4" t="s">
        <v>126</v>
      </c>
      <c r="B12" s="4" t="s">
        <v>573</v>
      </c>
      <c r="C12" s="4" t="s">
        <v>644</v>
      </c>
      <c r="D12" s="4"/>
      <c r="E12" s="4" t="s">
        <v>653</v>
      </c>
      <c r="F12" s="4" t="s">
        <v>654</v>
      </c>
      <c r="G12" s="4" t="s">
        <v>655</v>
      </c>
      <c r="H12" s="4" t="s">
        <v>648</v>
      </c>
      <c r="I12" s="4" t="s">
        <v>227</v>
      </c>
      <c r="J12" s="4"/>
      <c r="K12" s="4"/>
      <c r="L12" s="4"/>
      <c r="M12" s="4"/>
      <c r="N12" s="4"/>
    </row>
    <row r="13" customFormat="false" ht="15" hidden="false" customHeight="false" outlineLevel="0" collapsed="false">
      <c r="A13" s="4" t="s">
        <v>126</v>
      </c>
      <c r="B13" s="4" t="s">
        <v>573</v>
      </c>
      <c r="C13" s="4" t="s">
        <v>656</v>
      </c>
      <c r="D13" s="4" t="s">
        <v>657</v>
      </c>
      <c r="E13" s="4" t="s">
        <v>658</v>
      </c>
      <c r="F13" s="4" t="s">
        <v>659</v>
      </c>
      <c r="G13" s="4" t="s">
        <v>641</v>
      </c>
      <c r="H13" s="4" t="s">
        <v>638</v>
      </c>
      <c r="I13" s="4" t="s">
        <v>214</v>
      </c>
      <c r="J13" s="4"/>
      <c r="K13" s="4" t="s">
        <v>631</v>
      </c>
      <c r="L13" s="4"/>
      <c r="M13" s="4"/>
      <c r="N13" s="4"/>
    </row>
    <row r="14" customFormat="false" ht="15" hidden="false" customHeight="false" outlineLevel="0" collapsed="false">
      <c r="A14" s="4" t="s">
        <v>126</v>
      </c>
      <c r="B14" s="4" t="s">
        <v>573</v>
      </c>
      <c r="C14" s="4" t="s">
        <v>656</v>
      </c>
      <c r="D14" s="4" t="s">
        <v>657</v>
      </c>
      <c r="E14" s="4" t="s">
        <v>660</v>
      </c>
      <c r="F14" s="4" t="s">
        <v>661</v>
      </c>
      <c r="G14" s="4" t="s">
        <v>662</v>
      </c>
      <c r="H14" s="4" t="s">
        <v>663</v>
      </c>
      <c r="I14" s="4" t="s">
        <v>185</v>
      </c>
      <c r="J14" s="4" t="s">
        <v>201</v>
      </c>
      <c r="K14" s="4" t="s">
        <v>631</v>
      </c>
      <c r="L14" s="4" t="s">
        <v>664</v>
      </c>
      <c r="M14" s="4" t="s">
        <v>188</v>
      </c>
      <c r="N14" s="4" t="s">
        <v>665</v>
      </c>
    </row>
    <row r="15" customFormat="false" ht="15" hidden="false" customHeight="false" outlineLevel="0" collapsed="false">
      <c r="A15" s="4" t="s">
        <v>126</v>
      </c>
      <c r="B15" s="4" t="s">
        <v>573</v>
      </c>
      <c r="C15" s="4" t="s">
        <v>656</v>
      </c>
      <c r="D15" s="4" t="s">
        <v>657</v>
      </c>
      <c r="E15" s="4" t="s">
        <v>199</v>
      </c>
      <c r="F15" s="4" t="s">
        <v>666</v>
      </c>
      <c r="G15" s="4" t="s">
        <v>662</v>
      </c>
      <c r="H15" s="4" t="s">
        <v>663</v>
      </c>
      <c r="I15" s="4" t="s">
        <v>185</v>
      </c>
      <c r="J15" s="4" t="s">
        <v>201</v>
      </c>
      <c r="K15" s="4" t="s">
        <v>631</v>
      </c>
      <c r="L15" s="4" t="s">
        <v>667</v>
      </c>
      <c r="M15" s="4" t="s">
        <v>188</v>
      </c>
      <c r="N15" s="4"/>
    </row>
    <row r="16" customFormat="false" ht="15" hidden="false" customHeight="false" outlineLevel="0" collapsed="false">
      <c r="A16" s="4" t="s">
        <v>126</v>
      </c>
      <c r="B16" s="4" t="s">
        <v>573</v>
      </c>
      <c r="C16" s="4" t="s">
        <v>656</v>
      </c>
      <c r="D16" s="4" t="s">
        <v>657</v>
      </c>
      <c r="E16" s="4" t="s">
        <v>668</v>
      </c>
      <c r="F16" s="4" t="s">
        <v>669</v>
      </c>
      <c r="G16" s="4" t="s">
        <v>662</v>
      </c>
      <c r="H16" s="4" t="s">
        <v>663</v>
      </c>
      <c r="I16" s="4" t="s">
        <v>185</v>
      </c>
      <c r="J16" s="4" t="s">
        <v>194</v>
      </c>
      <c r="K16" s="4" t="s">
        <v>631</v>
      </c>
      <c r="L16" s="4" t="s">
        <v>670</v>
      </c>
      <c r="M16" s="4" t="s">
        <v>188</v>
      </c>
      <c r="N16" s="4" t="s">
        <v>665</v>
      </c>
    </row>
    <row r="17" customFormat="false" ht="15" hidden="false" customHeight="false" outlineLevel="0" collapsed="false">
      <c r="A17" s="4" t="s">
        <v>126</v>
      </c>
      <c r="B17" s="4" t="s">
        <v>573</v>
      </c>
      <c r="C17" s="4" t="s">
        <v>656</v>
      </c>
      <c r="D17" s="4" t="s">
        <v>657</v>
      </c>
      <c r="E17" s="4" t="s">
        <v>192</v>
      </c>
      <c r="F17" s="4" t="s">
        <v>671</v>
      </c>
      <c r="G17" s="4" t="s">
        <v>662</v>
      </c>
      <c r="H17" s="4" t="s">
        <v>663</v>
      </c>
      <c r="I17" s="4" t="s">
        <v>185</v>
      </c>
      <c r="J17" s="4" t="s">
        <v>194</v>
      </c>
      <c r="K17" s="4" t="s">
        <v>631</v>
      </c>
      <c r="L17" s="4" t="s">
        <v>672</v>
      </c>
      <c r="M17" s="4" t="s">
        <v>188</v>
      </c>
      <c r="N17" s="4"/>
    </row>
    <row r="18" customFormat="false" ht="15" hidden="false" customHeight="false" outlineLevel="0" collapsed="false">
      <c r="A18" s="4" t="s">
        <v>126</v>
      </c>
      <c r="B18" s="4" t="s">
        <v>573</v>
      </c>
      <c r="C18" s="4" t="s">
        <v>656</v>
      </c>
      <c r="D18" s="4" t="s">
        <v>657</v>
      </c>
      <c r="E18" s="4" t="s">
        <v>673</v>
      </c>
      <c r="F18" s="4" t="s">
        <v>674</v>
      </c>
      <c r="G18" s="4" t="s">
        <v>675</v>
      </c>
      <c r="H18" s="4" t="s">
        <v>648</v>
      </c>
      <c r="I18" s="4" t="s">
        <v>227</v>
      </c>
      <c r="J18" s="4"/>
      <c r="K18" s="4" t="s">
        <v>631</v>
      </c>
      <c r="L18" s="4"/>
      <c r="M18" s="4"/>
      <c r="N18" s="4" t="s">
        <v>676</v>
      </c>
    </row>
    <row r="19" customFormat="false" ht="23.85" hidden="false" customHeight="false" outlineLevel="0" collapsed="false">
      <c r="A19" s="4" t="s">
        <v>126</v>
      </c>
      <c r="B19" s="4" t="s">
        <v>573</v>
      </c>
      <c r="C19" s="4" t="s">
        <v>656</v>
      </c>
      <c r="D19" s="4" t="s">
        <v>657</v>
      </c>
      <c r="E19" s="4" t="s">
        <v>677</v>
      </c>
      <c r="F19" s="4" t="s">
        <v>678</v>
      </c>
      <c r="G19" s="4" t="s">
        <v>637</v>
      </c>
      <c r="H19" s="4" t="s">
        <v>638</v>
      </c>
      <c r="I19" s="4" t="s">
        <v>214</v>
      </c>
      <c r="J19" s="4"/>
      <c r="K19" s="4"/>
      <c r="L19" s="4"/>
      <c r="M19" s="4"/>
      <c r="N19" s="4" t="s">
        <v>679</v>
      </c>
    </row>
    <row r="20" customFormat="false" ht="15" hidden="false" customHeight="false" outlineLevel="0" collapsed="false">
      <c r="A20" s="4" t="s">
        <v>126</v>
      </c>
      <c r="B20" s="4" t="s">
        <v>573</v>
      </c>
      <c r="C20" s="4" t="s">
        <v>656</v>
      </c>
      <c r="D20" s="4" t="s">
        <v>657</v>
      </c>
      <c r="E20" s="4" t="s">
        <v>189</v>
      </c>
      <c r="F20" s="4" t="s">
        <v>190</v>
      </c>
      <c r="G20" s="4" t="s">
        <v>662</v>
      </c>
      <c r="H20" s="4" t="s">
        <v>663</v>
      </c>
      <c r="I20" s="4" t="s">
        <v>185</v>
      </c>
      <c r="J20" s="4" t="s">
        <v>191</v>
      </c>
      <c r="K20" s="4" t="s">
        <v>631</v>
      </c>
      <c r="L20" s="4" t="s">
        <v>680</v>
      </c>
      <c r="M20" s="4" t="s">
        <v>188</v>
      </c>
      <c r="N20" s="4"/>
    </row>
    <row r="21" customFormat="false" ht="15" hidden="false" customHeight="false" outlineLevel="0" collapsed="false">
      <c r="A21" s="4" t="s">
        <v>126</v>
      </c>
      <c r="B21" s="4" t="s">
        <v>573</v>
      </c>
      <c r="C21" s="4" t="s">
        <v>656</v>
      </c>
      <c r="D21" s="4" t="s">
        <v>657</v>
      </c>
      <c r="E21" s="4" t="s">
        <v>681</v>
      </c>
      <c r="F21" s="4" t="s">
        <v>682</v>
      </c>
      <c r="G21" s="4" t="s">
        <v>662</v>
      </c>
      <c r="H21" s="4" t="s">
        <v>663</v>
      </c>
      <c r="I21" s="4" t="s">
        <v>185</v>
      </c>
      <c r="J21" s="4" t="s">
        <v>184</v>
      </c>
      <c r="K21" s="4" t="s">
        <v>631</v>
      </c>
      <c r="L21" s="4" t="s">
        <v>683</v>
      </c>
      <c r="M21" s="4" t="s">
        <v>188</v>
      </c>
      <c r="N21" s="4" t="s">
        <v>665</v>
      </c>
    </row>
    <row r="22" customFormat="false" ht="15" hidden="false" customHeight="false" outlineLevel="0" collapsed="false">
      <c r="A22" s="4" t="s">
        <v>126</v>
      </c>
      <c r="B22" s="4" t="s">
        <v>573</v>
      </c>
      <c r="C22" s="4" t="s">
        <v>656</v>
      </c>
      <c r="D22" s="4" t="s">
        <v>657</v>
      </c>
      <c r="E22" s="4" t="s">
        <v>182</v>
      </c>
      <c r="F22" s="4" t="s">
        <v>684</v>
      </c>
      <c r="G22" s="4" t="s">
        <v>662</v>
      </c>
      <c r="H22" s="4" t="s">
        <v>663</v>
      </c>
      <c r="I22" s="4" t="s">
        <v>185</v>
      </c>
      <c r="J22" s="4" t="s">
        <v>184</v>
      </c>
      <c r="K22" s="4" t="s">
        <v>631</v>
      </c>
      <c r="L22" s="4" t="s">
        <v>685</v>
      </c>
      <c r="M22" s="4" t="s">
        <v>188</v>
      </c>
      <c r="N22" s="4"/>
    </row>
    <row r="23" customFormat="false" ht="15" hidden="false" customHeight="false" outlineLevel="0" collapsed="false">
      <c r="A23" s="4" t="s">
        <v>126</v>
      </c>
      <c r="B23" s="4" t="s">
        <v>573</v>
      </c>
      <c r="C23" s="4" t="s">
        <v>656</v>
      </c>
      <c r="D23" s="4" t="s">
        <v>657</v>
      </c>
      <c r="E23" s="4" t="s">
        <v>686</v>
      </c>
      <c r="F23" s="4" t="s">
        <v>687</v>
      </c>
      <c r="G23" s="4" t="s">
        <v>662</v>
      </c>
      <c r="H23" s="4" t="s">
        <v>663</v>
      </c>
      <c r="I23" s="4" t="s">
        <v>185</v>
      </c>
      <c r="J23" s="4" t="s">
        <v>184</v>
      </c>
      <c r="K23" s="4" t="s">
        <v>631</v>
      </c>
      <c r="L23" s="4" t="s">
        <v>688</v>
      </c>
      <c r="M23" s="4" t="s">
        <v>188</v>
      </c>
      <c r="N23" s="4" t="s">
        <v>665</v>
      </c>
    </row>
    <row r="24" customFormat="false" ht="15" hidden="false" customHeight="false" outlineLevel="0" collapsed="false">
      <c r="A24" s="4" t="s">
        <v>126</v>
      </c>
      <c r="B24" s="4" t="s">
        <v>573</v>
      </c>
      <c r="C24" s="4" t="s">
        <v>656</v>
      </c>
      <c r="D24" s="4" t="s">
        <v>657</v>
      </c>
      <c r="E24" s="4" t="s">
        <v>197</v>
      </c>
      <c r="F24" s="4" t="s">
        <v>689</v>
      </c>
      <c r="G24" s="4" t="s">
        <v>662</v>
      </c>
      <c r="H24" s="4" t="s">
        <v>663</v>
      </c>
      <c r="I24" s="4" t="s">
        <v>185</v>
      </c>
      <c r="J24" s="4" t="s">
        <v>184</v>
      </c>
      <c r="K24" s="4" t="s">
        <v>631</v>
      </c>
      <c r="L24" s="4" t="s">
        <v>690</v>
      </c>
      <c r="M24" s="4" t="s">
        <v>188</v>
      </c>
      <c r="N24" s="4"/>
    </row>
    <row r="25" customFormat="false" ht="15" hidden="false" customHeight="false" outlineLevel="0" collapsed="false">
      <c r="A25" s="4" t="s">
        <v>126</v>
      </c>
      <c r="B25" s="4" t="s">
        <v>573</v>
      </c>
      <c r="C25" s="4" t="s">
        <v>656</v>
      </c>
      <c r="D25" s="4" t="s">
        <v>657</v>
      </c>
      <c r="E25" s="4" t="s">
        <v>691</v>
      </c>
      <c r="F25" s="4" t="s">
        <v>692</v>
      </c>
      <c r="G25" s="4" t="s">
        <v>662</v>
      </c>
      <c r="H25" s="4" t="s">
        <v>663</v>
      </c>
      <c r="I25" s="4" t="s">
        <v>185</v>
      </c>
      <c r="J25" s="4" t="s">
        <v>184</v>
      </c>
      <c r="K25" s="4" t="s">
        <v>631</v>
      </c>
      <c r="L25" s="4" t="s">
        <v>693</v>
      </c>
      <c r="M25" s="4" t="s">
        <v>188</v>
      </c>
      <c r="N25" s="4" t="s">
        <v>665</v>
      </c>
    </row>
    <row r="26" customFormat="false" ht="15" hidden="false" customHeight="false" outlineLevel="0" collapsed="false">
      <c r="A26" s="4" t="s">
        <v>126</v>
      </c>
      <c r="B26" s="4" t="s">
        <v>573</v>
      </c>
      <c r="C26" s="4" t="s">
        <v>656</v>
      </c>
      <c r="D26" s="4" t="s">
        <v>657</v>
      </c>
      <c r="E26" s="4" t="s">
        <v>202</v>
      </c>
      <c r="F26" s="4" t="s">
        <v>694</v>
      </c>
      <c r="G26" s="4" t="s">
        <v>662</v>
      </c>
      <c r="H26" s="4" t="s">
        <v>663</v>
      </c>
      <c r="I26" s="4" t="s">
        <v>185</v>
      </c>
      <c r="J26" s="4" t="s">
        <v>184</v>
      </c>
      <c r="K26" s="4" t="s">
        <v>631</v>
      </c>
      <c r="L26" s="4" t="s">
        <v>695</v>
      </c>
      <c r="M26" s="4" t="s">
        <v>188</v>
      </c>
      <c r="N26" s="4"/>
    </row>
    <row r="27" customFormat="false" ht="15" hidden="false" customHeight="false" outlineLevel="0" collapsed="false">
      <c r="A27" s="4" t="s">
        <v>126</v>
      </c>
      <c r="B27" s="4" t="s">
        <v>573</v>
      </c>
      <c r="C27" s="4" t="s">
        <v>656</v>
      </c>
      <c r="D27" s="4" t="s">
        <v>657</v>
      </c>
      <c r="E27" s="4" t="s">
        <v>696</v>
      </c>
      <c r="F27" s="4" t="s">
        <v>697</v>
      </c>
      <c r="G27" s="4" t="s">
        <v>698</v>
      </c>
      <c r="H27" s="4" t="s">
        <v>648</v>
      </c>
      <c r="I27" s="4" t="s">
        <v>227</v>
      </c>
      <c r="J27" s="4"/>
      <c r="K27" s="4" t="s">
        <v>631</v>
      </c>
      <c r="L27" s="4"/>
      <c r="M27" s="4"/>
      <c r="N27" s="4"/>
    </row>
    <row r="28" customFormat="false" ht="15" hidden="false" customHeight="false" outlineLevel="0" collapsed="false">
      <c r="A28" s="4" t="s">
        <v>126</v>
      </c>
      <c r="B28" s="4" t="s">
        <v>573</v>
      </c>
      <c r="C28" s="4" t="s">
        <v>656</v>
      </c>
      <c r="D28" s="4" t="s">
        <v>657</v>
      </c>
      <c r="E28" s="4" t="s">
        <v>699</v>
      </c>
      <c r="F28" s="4" t="s">
        <v>700</v>
      </c>
      <c r="G28" s="4" t="s">
        <v>647</v>
      </c>
      <c r="H28" s="4" t="s">
        <v>648</v>
      </c>
      <c r="I28" s="4" t="s">
        <v>227</v>
      </c>
      <c r="J28" s="4"/>
      <c r="K28" s="4" t="s">
        <v>631</v>
      </c>
      <c r="L28" s="4"/>
      <c r="M28" s="4"/>
      <c r="N28" s="4"/>
    </row>
    <row r="29" customFormat="false" ht="23.85" hidden="false" customHeight="false" outlineLevel="0" collapsed="false">
      <c r="A29" s="4" t="s">
        <v>126</v>
      </c>
      <c r="B29" s="4" t="s">
        <v>573</v>
      </c>
      <c r="C29" s="4" t="s">
        <v>701</v>
      </c>
      <c r="D29" s="4"/>
      <c r="E29" s="4" t="s">
        <v>702</v>
      </c>
      <c r="F29" s="4" t="s">
        <v>703</v>
      </c>
      <c r="G29" s="4" t="s">
        <v>662</v>
      </c>
      <c r="H29" s="4" t="s">
        <v>704</v>
      </c>
      <c r="I29" s="4" t="s">
        <v>705</v>
      </c>
      <c r="J29" s="4" t="s">
        <v>706</v>
      </c>
      <c r="K29" s="4" t="s">
        <v>631</v>
      </c>
      <c r="L29" s="4"/>
      <c r="M29" s="4"/>
      <c r="N29" s="4"/>
    </row>
    <row r="30" customFormat="false" ht="23.85" hidden="false" customHeight="false" outlineLevel="0" collapsed="false">
      <c r="A30" s="4" t="s">
        <v>126</v>
      </c>
      <c r="B30" s="4" t="s">
        <v>573</v>
      </c>
      <c r="C30" s="4" t="s">
        <v>701</v>
      </c>
      <c r="D30" s="4"/>
      <c r="E30" s="4" t="s">
        <v>707</v>
      </c>
      <c r="F30" s="4" t="s">
        <v>708</v>
      </c>
      <c r="G30" s="4" t="s">
        <v>662</v>
      </c>
      <c r="H30" s="4" t="s">
        <v>704</v>
      </c>
      <c r="I30" s="4" t="s">
        <v>705</v>
      </c>
      <c r="J30" s="4" t="s">
        <v>706</v>
      </c>
      <c r="K30" s="4" t="s">
        <v>631</v>
      </c>
      <c r="L30" s="4"/>
      <c r="M30" s="4"/>
      <c r="N30" s="4"/>
    </row>
    <row r="31" customFormat="false" ht="23.85" hidden="false" customHeight="false" outlineLevel="0" collapsed="false">
      <c r="A31" s="4" t="s">
        <v>126</v>
      </c>
      <c r="B31" s="4" t="s">
        <v>573</v>
      </c>
      <c r="C31" s="4" t="s">
        <v>701</v>
      </c>
      <c r="D31" s="4"/>
      <c r="E31" s="4" t="s">
        <v>709</v>
      </c>
      <c r="F31" s="4" t="s">
        <v>710</v>
      </c>
      <c r="G31" s="4" t="s">
        <v>662</v>
      </c>
      <c r="H31" s="4" t="s">
        <v>704</v>
      </c>
      <c r="I31" s="4" t="s">
        <v>705</v>
      </c>
      <c r="J31" s="4" t="s">
        <v>706</v>
      </c>
      <c r="K31" s="4" t="s">
        <v>631</v>
      </c>
      <c r="L31" s="4"/>
      <c r="M31" s="4"/>
      <c r="N31" s="4"/>
    </row>
    <row r="32" customFormat="false" ht="23.85" hidden="false" customHeight="false" outlineLevel="0" collapsed="false">
      <c r="A32" s="4" t="s">
        <v>126</v>
      </c>
      <c r="B32" s="4" t="s">
        <v>573</v>
      </c>
      <c r="C32" s="4" t="s">
        <v>701</v>
      </c>
      <c r="D32" s="4"/>
      <c r="E32" s="4" t="s">
        <v>711</v>
      </c>
      <c r="F32" s="4" t="s">
        <v>712</v>
      </c>
      <c r="G32" s="4" t="s">
        <v>662</v>
      </c>
      <c r="H32" s="4" t="s">
        <v>713</v>
      </c>
      <c r="I32" s="4" t="s">
        <v>214</v>
      </c>
      <c r="J32" s="4" t="s">
        <v>241</v>
      </c>
      <c r="K32" s="4" t="s">
        <v>631</v>
      </c>
      <c r="L32" s="4" t="s">
        <v>714</v>
      </c>
      <c r="M32" s="4" t="s">
        <v>188</v>
      </c>
      <c r="N32" s="4" t="s">
        <v>715</v>
      </c>
    </row>
    <row r="33" customFormat="false" ht="23.85" hidden="false" customHeight="false" outlineLevel="0" collapsed="false">
      <c r="A33" s="4" t="s">
        <v>126</v>
      </c>
      <c r="B33" s="4" t="s">
        <v>573</v>
      </c>
      <c r="C33" s="4" t="s">
        <v>701</v>
      </c>
      <c r="D33" s="4"/>
      <c r="E33" s="4" t="s">
        <v>716</v>
      </c>
      <c r="F33" s="4" t="s">
        <v>717</v>
      </c>
      <c r="G33" s="4" t="s">
        <v>641</v>
      </c>
      <c r="H33" s="4" t="s">
        <v>642</v>
      </c>
      <c r="I33" s="4" t="s">
        <v>214</v>
      </c>
      <c r="J33" s="4"/>
      <c r="K33" s="4" t="s">
        <v>631</v>
      </c>
      <c r="L33" s="4"/>
      <c r="M33" s="4"/>
      <c r="N33" s="4"/>
    </row>
    <row r="34" customFormat="false" ht="23.85" hidden="false" customHeight="false" outlineLevel="0" collapsed="false">
      <c r="A34" s="4" t="s">
        <v>126</v>
      </c>
      <c r="B34" s="4" t="s">
        <v>573</v>
      </c>
      <c r="C34" s="4" t="s">
        <v>701</v>
      </c>
      <c r="D34" s="4"/>
      <c r="E34" s="4" t="s">
        <v>718</v>
      </c>
      <c r="F34" s="4" t="s">
        <v>719</v>
      </c>
      <c r="G34" s="4" t="s">
        <v>662</v>
      </c>
      <c r="H34" s="4" t="s">
        <v>713</v>
      </c>
      <c r="I34" s="4" t="s">
        <v>214</v>
      </c>
      <c r="J34" s="4" t="s">
        <v>238</v>
      </c>
      <c r="K34" s="4" t="s">
        <v>631</v>
      </c>
      <c r="L34" s="4"/>
      <c r="M34" s="4"/>
      <c r="N34" s="4" t="s">
        <v>720</v>
      </c>
    </row>
    <row r="35" customFormat="false" ht="15" hidden="false" customHeight="false" outlineLevel="0" collapsed="false">
      <c r="A35" s="4" t="s">
        <v>126</v>
      </c>
      <c r="B35" s="4" t="s">
        <v>573</v>
      </c>
      <c r="C35" s="4" t="s">
        <v>721</v>
      </c>
      <c r="D35" s="4"/>
      <c r="E35" s="4" t="s">
        <v>722</v>
      </c>
      <c r="F35" s="4" t="s">
        <v>723</v>
      </c>
      <c r="G35" s="4" t="s">
        <v>724</v>
      </c>
      <c r="H35" s="4" t="s">
        <v>648</v>
      </c>
      <c r="I35" s="4" t="s">
        <v>227</v>
      </c>
      <c r="J35" s="4"/>
      <c r="K35" s="4"/>
      <c r="L35" s="4"/>
      <c r="M35" s="4"/>
      <c r="N35" s="4"/>
    </row>
    <row r="36" customFormat="false" ht="15" hidden="false" customHeight="false" outlineLevel="0" collapsed="false">
      <c r="A36" s="4" t="s">
        <v>126</v>
      </c>
      <c r="B36" s="4" t="s">
        <v>573</v>
      </c>
      <c r="C36" s="4" t="s">
        <v>721</v>
      </c>
      <c r="D36" s="4"/>
      <c r="E36" s="4" t="s">
        <v>725</v>
      </c>
      <c r="F36" s="4" t="s">
        <v>726</v>
      </c>
      <c r="G36" s="4" t="s">
        <v>655</v>
      </c>
      <c r="H36" s="4" t="s">
        <v>648</v>
      </c>
      <c r="I36" s="4" t="s">
        <v>227</v>
      </c>
      <c r="J36" s="4"/>
      <c r="K36" s="4"/>
      <c r="L36" s="4"/>
      <c r="M36" s="4"/>
      <c r="N36" s="4"/>
    </row>
    <row r="37" customFormat="false" ht="15" hidden="false" customHeight="false" outlineLevel="0" collapsed="false">
      <c r="A37" s="4" t="s">
        <v>132</v>
      </c>
      <c r="B37" s="4" t="s">
        <v>578</v>
      </c>
      <c r="C37" s="4" t="s">
        <v>625</v>
      </c>
      <c r="D37" s="4"/>
      <c r="E37" s="4" t="s">
        <v>626</v>
      </c>
      <c r="F37" s="4" t="s">
        <v>627</v>
      </c>
      <c r="G37" s="4" t="s">
        <v>628</v>
      </c>
      <c r="H37" s="4" t="s">
        <v>629</v>
      </c>
      <c r="I37" s="4" t="s">
        <v>630</v>
      </c>
      <c r="J37" s="4"/>
      <c r="K37" s="4" t="s">
        <v>631</v>
      </c>
      <c r="L37" s="4"/>
      <c r="M37" s="4"/>
      <c r="N37" s="4" t="s">
        <v>727</v>
      </c>
    </row>
    <row r="38" customFormat="false" ht="15" hidden="false" customHeight="false" outlineLevel="0" collapsed="false">
      <c r="A38" s="4" t="s">
        <v>132</v>
      </c>
      <c r="B38" s="4" t="s">
        <v>578</v>
      </c>
      <c r="C38" s="4" t="s">
        <v>625</v>
      </c>
      <c r="D38" s="4"/>
      <c r="E38" s="4" t="s">
        <v>633</v>
      </c>
      <c r="F38" s="4" t="s">
        <v>728</v>
      </c>
      <c r="G38" s="4" t="s">
        <v>635</v>
      </c>
      <c r="H38" s="4" t="s">
        <v>629</v>
      </c>
      <c r="I38" s="4" t="s">
        <v>630</v>
      </c>
      <c r="J38" s="4"/>
      <c r="K38" s="4" t="s">
        <v>631</v>
      </c>
      <c r="L38" s="4"/>
      <c r="M38" s="4"/>
      <c r="N38" s="4"/>
    </row>
    <row r="39" customFormat="false" ht="15" hidden="false" customHeight="false" outlineLevel="0" collapsed="false">
      <c r="A39" s="4" t="s">
        <v>132</v>
      </c>
      <c r="B39" s="4" t="s">
        <v>578</v>
      </c>
      <c r="C39" s="4" t="s">
        <v>625</v>
      </c>
      <c r="D39" s="4"/>
      <c r="E39" s="4" t="s">
        <v>636</v>
      </c>
      <c r="F39" s="4" t="s">
        <v>340</v>
      </c>
      <c r="G39" s="4" t="s">
        <v>637</v>
      </c>
      <c r="H39" s="4" t="s">
        <v>638</v>
      </c>
      <c r="I39" s="4" t="s">
        <v>214</v>
      </c>
      <c r="J39" s="4"/>
      <c r="K39" s="4" t="s">
        <v>631</v>
      </c>
      <c r="L39" s="4"/>
      <c r="M39" s="4"/>
      <c r="N39" s="4"/>
    </row>
    <row r="40" customFormat="false" ht="15" hidden="false" customHeight="false" outlineLevel="0" collapsed="false">
      <c r="A40" s="4" t="s">
        <v>132</v>
      </c>
      <c r="B40" s="4" t="s">
        <v>578</v>
      </c>
      <c r="C40" s="4" t="s">
        <v>625</v>
      </c>
      <c r="D40" s="4"/>
      <c r="E40" s="4" t="s">
        <v>639</v>
      </c>
      <c r="F40" s="4" t="s">
        <v>640</v>
      </c>
      <c r="G40" s="4" t="s">
        <v>641</v>
      </c>
      <c r="H40" s="4" t="s">
        <v>642</v>
      </c>
      <c r="I40" s="4" t="s">
        <v>214</v>
      </c>
      <c r="J40" s="4"/>
      <c r="K40" s="4" t="s">
        <v>631</v>
      </c>
      <c r="L40" s="4"/>
      <c r="M40" s="4"/>
      <c r="N40" s="4" t="s">
        <v>643</v>
      </c>
    </row>
    <row r="41" customFormat="false" ht="23.85" hidden="false" customHeight="false" outlineLevel="0" collapsed="false">
      <c r="A41" s="4" t="s">
        <v>132</v>
      </c>
      <c r="B41" s="4" t="s">
        <v>578</v>
      </c>
      <c r="C41" s="4" t="s">
        <v>644</v>
      </c>
      <c r="D41" s="4"/>
      <c r="E41" s="4" t="s">
        <v>645</v>
      </c>
      <c r="F41" s="4" t="s">
        <v>646</v>
      </c>
      <c r="G41" s="4" t="s">
        <v>647</v>
      </c>
      <c r="H41" s="4" t="s">
        <v>648</v>
      </c>
      <c r="I41" s="4" t="s">
        <v>227</v>
      </c>
      <c r="J41" s="4"/>
      <c r="K41" s="4" t="s">
        <v>631</v>
      </c>
      <c r="L41" s="4"/>
      <c r="M41" s="4"/>
      <c r="N41" s="4"/>
    </row>
    <row r="42" customFormat="false" ht="15" hidden="false" customHeight="false" outlineLevel="0" collapsed="false">
      <c r="A42" s="4" t="s">
        <v>132</v>
      </c>
      <c r="B42" s="4" t="s">
        <v>578</v>
      </c>
      <c r="C42" s="4" t="s">
        <v>644</v>
      </c>
      <c r="D42" s="4"/>
      <c r="E42" s="4" t="s">
        <v>649</v>
      </c>
      <c r="F42" s="4" t="s">
        <v>650</v>
      </c>
      <c r="G42" s="4" t="s">
        <v>647</v>
      </c>
      <c r="H42" s="4" t="s">
        <v>648</v>
      </c>
      <c r="I42" s="4" t="s">
        <v>227</v>
      </c>
      <c r="J42" s="4"/>
      <c r="K42" s="4" t="s">
        <v>631</v>
      </c>
      <c r="L42" s="4"/>
      <c r="M42" s="4"/>
      <c r="N42" s="4"/>
    </row>
    <row r="43" customFormat="false" ht="15" hidden="false" customHeight="false" outlineLevel="0" collapsed="false">
      <c r="A43" s="4" t="s">
        <v>132</v>
      </c>
      <c r="B43" s="4" t="s">
        <v>578</v>
      </c>
      <c r="C43" s="4" t="s">
        <v>644</v>
      </c>
      <c r="D43" s="4"/>
      <c r="E43" s="4" t="s">
        <v>651</v>
      </c>
      <c r="F43" s="4" t="s">
        <v>652</v>
      </c>
      <c r="G43" s="4" t="s">
        <v>641</v>
      </c>
      <c r="H43" s="4" t="s">
        <v>648</v>
      </c>
      <c r="I43" s="4" t="s">
        <v>227</v>
      </c>
      <c r="J43" s="4"/>
      <c r="K43" s="4" t="s">
        <v>631</v>
      </c>
      <c r="L43" s="4"/>
      <c r="M43" s="4"/>
      <c r="N43" s="4"/>
    </row>
    <row r="44" customFormat="false" ht="23.85" hidden="false" customHeight="false" outlineLevel="0" collapsed="false">
      <c r="A44" s="4" t="s">
        <v>132</v>
      </c>
      <c r="B44" s="4" t="s">
        <v>578</v>
      </c>
      <c r="C44" s="4" t="s">
        <v>644</v>
      </c>
      <c r="D44" s="4"/>
      <c r="E44" s="4" t="s">
        <v>653</v>
      </c>
      <c r="F44" s="4" t="s">
        <v>654</v>
      </c>
      <c r="G44" s="4" t="s">
        <v>655</v>
      </c>
      <c r="H44" s="4" t="s">
        <v>648</v>
      </c>
      <c r="I44" s="4" t="s">
        <v>227</v>
      </c>
      <c r="J44" s="4"/>
      <c r="K44" s="4"/>
      <c r="L44" s="4"/>
      <c r="M44" s="4"/>
      <c r="N44" s="4"/>
    </row>
    <row r="45" customFormat="false" ht="15" hidden="false" customHeight="false" outlineLevel="0" collapsed="false">
      <c r="A45" s="4" t="s">
        <v>132</v>
      </c>
      <c r="B45" s="4" t="s">
        <v>578</v>
      </c>
      <c r="C45" s="4" t="s">
        <v>656</v>
      </c>
      <c r="D45" s="4" t="s">
        <v>657</v>
      </c>
      <c r="E45" s="4" t="s">
        <v>658</v>
      </c>
      <c r="F45" s="4" t="s">
        <v>659</v>
      </c>
      <c r="G45" s="4" t="s">
        <v>641</v>
      </c>
      <c r="H45" s="4" t="s">
        <v>638</v>
      </c>
      <c r="I45" s="4" t="s">
        <v>214</v>
      </c>
      <c r="J45" s="4"/>
      <c r="K45" s="4" t="s">
        <v>631</v>
      </c>
      <c r="L45" s="4"/>
      <c r="M45" s="4"/>
      <c r="N45" s="4"/>
    </row>
    <row r="46" customFormat="false" ht="15" hidden="false" customHeight="false" outlineLevel="0" collapsed="false">
      <c r="A46" s="4" t="s">
        <v>132</v>
      </c>
      <c r="B46" s="4" t="s">
        <v>578</v>
      </c>
      <c r="C46" s="4" t="s">
        <v>656</v>
      </c>
      <c r="D46" s="4" t="s">
        <v>657</v>
      </c>
      <c r="E46" s="4" t="s">
        <v>660</v>
      </c>
      <c r="F46" s="4" t="s">
        <v>661</v>
      </c>
      <c r="G46" s="4" t="s">
        <v>662</v>
      </c>
      <c r="H46" s="4" t="s">
        <v>663</v>
      </c>
      <c r="I46" s="4" t="s">
        <v>185</v>
      </c>
      <c r="J46" s="4" t="s">
        <v>201</v>
      </c>
      <c r="K46" s="4" t="s">
        <v>631</v>
      </c>
      <c r="L46" s="4" t="s">
        <v>664</v>
      </c>
      <c r="M46" s="4" t="s">
        <v>188</v>
      </c>
      <c r="N46" s="4" t="s">
        <v>665</v>
      </c>
    </row>
    <row r="47" customFormat="false" ht="15" hidden="false" customHeight="false" outlineLevel="0" collapsed="false">
      <c r="A47" s="4" t="s">
        <v>132</v>
      </c>
      <c r="B47" s="4" t="s">
        <v>578</v>
      </c>
      <c r="C47" s="4" t="s">
        <v>656</v>
      </c>
      <c r="D47" s="4" t="s">
        <v>657</v>
      </c>
      <c r="E47" s="4" t="s">
        <v>199</v>
      </c>
      <c r="F47" s="4" t="s">
        <v>666</v>
      </c>
      <c r="G47" s="4" t="s">
        <v>662</v>
      </c>
      <c r="H47" s="4" t="s">
        <v>663</v>
      </c>
      <c r="I47" s="4" t="s">
        <v>185</v>
      </c>
      <c r="J47" s="4" t="s">
        <v>201</v>
      </c>
      <c r="K47" s="4" t="s">
        <v>631</v>
      </c>
      <c r="L47" s="4" t="s">
        <v>667</v>
      </c>
      <c r="M47" s="4" t="s">
        <v>188</v>
      </c>
      <c r="N47" s="4"/>
    </row>
    <row r="48" customFormat="false" ht="15" hidden="false" customHeight="false" outlineLevel="0" collapsed="false">
      <c r="A48" s="4" t="s">
        <v>132</v>
      </c>
      <c r="B48" s="4" t="s">
        <v>578</v>
      </c>
      <c r="C48" s="4" t="s">
        <v>656</v>
      </c>
      <c r="D48" s="4" t="s">
        <v>657</v>
      </c>
      <c r="E48" s="4" t="s">
        <v>668</v>
      </c>
      <c r="F48" s="4" t="s">
        <v>669</v>
      </c>
      <c r="G48" s="4" t="s">
        <v>662</v>
      </c>
      <c r="H48" s="4" t="s">
        <v>663</v>
      </c>
      <c r="I48" s="4" t="s">
        <v>185</v>
      </c>
      <c r="J48" s="4" t="s">
        <v>194</v>
      </c>
      <c r="K48" s="4" t="s">
        <v>631</v>
      </c>
      <c r="L48" s="4" t="s">
        <v>729</v>
      </c>
      <c r="M48" s="4" t="s">
        <v>188</v>
      </c>
      <c r="N48" s="4" t="s">
        <v>665</v>
      </c>
    </row>
    <row r="49" customFormat="false" ht="15" hidden="false" customHeight="false" outlineLevel="0" collapsed="false">
      <c r="A49" s="4" t="s">
        <v>132</v>
      </c>
      <c r="B49" s="4" t="s">
        <v>578</v>
      </c>
      <c r="C49" s="4" t="s">
        <v>656</v>
      </c>
      <c r="D49" s="4" t="s">
        <v>657</v>
      </c>
      <c r="E49" s="4" t="s">
        <v>192</v>
      </c>
      <c r="F49" s="4" t="s">
        <v>671</v>
      </c>
      <c r="G49" s="4" t="s">
        <v>662</v>
      </c>
      <c r="H49" s="4" t="s">
        <v>663</v>
      </c>
      <c r="I49" s="4" t="s">
        <v>185</v>
      </c>
      <c r="J49" s="4" t="s">
        <v>194</v>
      </c>
      <c r="K49" s="4" t="s">
        <v>631</v>
      </c>
      <c r="L49" s="4" t="s">
        <v>730</v>
      </c>
      <c r="M49" s="4" t="s">
        <v>188</v>
      </c>
      <c r="N49" s="4"/>
    </row>
    <row r="50" customFormat="false" ht="15" hidden="false" customHeight="false" outlineLevel="0" collapsed="false">
      <c r="A50" s="4" t="s">
        <v>132</v>
      </c>
      <c r="B50" s="4" t="s">
        <v>578</v>
      </c>
      <c r="C50" s="4" t="s">
        <v>656</v>
      </c>
      <c r="D50" s="4" t="s">
        <v>657</v>
      </c>
      <c r="E50" s="4" t="s">
        <v>673</v>
      </c>
      <c r="F50" s="4" t="s">
        <v>674</v>
      </c>
      <c r="G50" s="4" t="s">
        <v>675</v>
      </c>
      <c r="H50" s="4" t="s">
        <v>648</v>
      </c>
      <c r="I50" s="4" t="s">
        <v>227</v>
      </c>
      <c r="J50" s="4"/>
      <c r="K50" s="4" t="s">
        <v>631</v>
      </c>
      <c r="L50" s="4"/>
      <c r="M50" s="4"/>
      <c r="N50" s="4" t="s">
        <v>676</v>
      </c>
    </row>
    <row r="51" customFormat="false" ht="23.85" hidden="false" customHeight="false" outlineLevel="0" collapsed="false">
      <c r="A51" s="4" t="s">
        <v>132</v>
      </c>
      <c r="B51" s="4" t="s">
        <v>578</v>
      </c>
      <c r="C51" s="4" t="s">
        <v>656</v>
      </c>
      <c r="D51" s="4" t="s">
        <v>657</v>
      </c>
      <c r="E51" s="4" t="s">
        <v>677</v>
      </c>
      <c r="F51" s="4" t="s">
        <v>678</v>
      </c>
      <c r="G51" s="4" t="s">
        <v>637</v>
      </c>
      <c r="H51" s="4" t="s">
        <v>638</v>
      </c>
      <c r="I51" s="4" t="s">
        <v>214</v>
      </c>
      <c r="J51" s="4"/>
      <c r="K51" s="4"/>
      <c r="L51" s="4"/>
      <c r="M51" s="4"/>
      <c r="N51" s="4" t="s">
        <v>679</v>
      </c>
    </row>
    <row r="52" customFormat="false" ht="15" hidden="false" customHeight="false" outlineLevel="0" collapsed="false">
      <c r="A52" s="4" t="s">
        <v>132</v>
      </c>
      <c r="B52" s="4" t="s">
        <v>578</v>
      </c>
      <c r="C52" s="4" t="s">
        <v>656</v>
      </c>
      <c r="D52" s="4" t="s">
        <v>657</v>
      </c>
      <c r="E52" s="4" t="s">
        <v>189</v>
      </c>
      <c r="F52" s="4" t="s">
        <v>190</v>
      </c>
      <c r="G52" s="4" t="s">
        <v>662</v>
      </c>
      <c r="H52" s="4" t="s">
        <v>663</v>
      </c>
      <c r="I52" s="4" t="s">
        <v>185</v>
      </c>
      <c r="J52" s="4" t="s">
        <v>191</v>
      </c>
      <c r="K52" s="4" t="s">
        <v>631</v>
      </c>
      <c r="L52" s="4" t="s">
        <v>731</v>
      </c>
      <c r="M52" s="4" t="s">
        <v>188</v>
      </c>
      <c r="N52" s="4"/>
    </row>
    <row r="53" customFormat="false" ht="15" hidden="false" customHeight="false" outlineLevel="0" collapsed="false">
      <c r="A53" s="4" t="s">
        <v>132</v>
      </c>
      <c r="B53" s="4" t="s">
        <v>578</v>
      </c>
      <c r="C53" s="4" t="s">
        <v>656</v>
      </c>
      <c r="D53" s="4" t="s">
        <v>657</v>
      </c>
      <c r="E53" s="4" t="s">
        <v>681</v>
      </c>
      <c r="F53" s="4" t="s">
        <v>682</v>
      </c>
      <c r="G53" s="4" t="s">
        <v>662</v>
      </c>
      <c r="H53" s="4" t="s">
        <v>663</v>
      </c>
      <c r="I53" s="4" t="s">
        <v>185</v>
      </c>
      <c r="J53" s="4" t="s">
        <v>184</v>
      </c>
      <c r="K53" s="4" t="s">
        <v>631</v>
      </c>
      <c r="L53" s="4" t="s">
        <v>732</v>
      </c>
      <c r="M53" s="4" t="s">
        <v>188</v>
      </c>
      <c r="N53" s="4" t="s">
        <v>665</v>
      </c>
    </row>
    <row r="54" customFormat="false" ht="15" hidden="false" customHeight="false" outlineLevel="0" collapsed="false">
      <c r="A54" s="4" t="s">
        <v>132</v>
      </c>
      <c r="B54" s="4" t="s">
        <v>578</v>
      </c>
      <c r="C54" s="4" t="s">
        <v>656</v>
      </c>
      <c r="D54" s="4" t="s">
        <v>657</v>
      </c>
      <c r="E54" s="4" t="s">
        <v>182</v>
      </c>
      <c r="F54" s="4" t="s">
        <v>684</v>
      </c>
      <c r="G54" s="4" t="s">
        <v>662</v>
      </c>
      <c r="H54" s="4" t="s">
        <v>663</v>
      </c>
      <c r="I54" s="4" t="s">
        <v>185</v>
      </c>
      <c r="J54" s="4" t="s">
        <v>184</v>
      </c>
      <c r="K54" s="4" t="s">
        <v>631</v>
      </c>
      <c r="L54" s="4" t="s">
        <v>733</v>
      </c>
      <c r="M54" s="4" t="s">
        <v>188</v>
      </c>
      <c r="N54" s="4"/>
    </row>
    <row r="55" customFormat="false" ht="15" hidden="false" customHeight="false" outlineLevel="0" collapsed="false">
      <c r="A55" s="4" t="s">
        <v>132</v>
      </c>
      <c r="B55" s="4" t="s">
        <v>578</v>
      </c>
      <c r="C55" s="4" t="s">
        <v>656</v>
      </c>
      <c r="D55" s="4" t="s">
        <v>657</v>
      </c>
      <c r="E55" s="4" t="s">
        <v>686</v>
      </c>
      <c r="F55" s="4" t="s">
        <v>687</v>
      </c>
      <c r="G55" s="4" t="s">
        <v>662</v>
      </c>
      <c r="H55" s="4" t="s">
        <v>663</v>
      </c>
      <c r="I55" s="4" t="s">
        <v>185</v>
      </c>
      <c r="J55" s="4" t="s">
        <v>184</v>
      </c>
      <c r="K55" s="4" t="s">
        <v>631</v>
      </c>
      <c r="L55" s="4" t="s">
        <v>734</v>
      </c>
      <c r="M55" s="4" t="s">
        <v>188</v>
      </c>
      <c r="N55" s="4" t="s">
        <v>665</v>
      </c>
    </row>
    <row r="56" customFormat="false" ht="15" hidden="false" customHeight="false" outlineLevel="0" collapsed="false">
      <c r="A56" s="4" t="s">
        <v>132</v>
      </c>
      <c r="B56" s="4" t="s">
        <v>578</v>
      </c>
      <c r="C56" s="4" t="s">
        <v>656</v>
      </c>
      <c r="D56" s="4" t="s">
        <v>657</v>
      </c>
      <c r="E56" s="4" t="s">
        <v>197</v>
      </c>
      <c r="F56" s="4" t="s">
        <v>689</v>
      </c>
      <c r="G56" s="4" t="s">
        <v>662</v>
      </c>
      <c r="H56" s="4" t="s">
        <v>663</v>
      </c>
      <c r="I56" s="4" t="s">
        <v>185</v>
      </c>
      <c r="J56" s="4" t="s">
        <v>184</v>
      </c>
      <c r="K56" s="4" t="s">
        <v>631</v>
      </c>
      <c r="L56" s="4" t="s">
        <v>735</v>
      </c>
      <c r="M56" s="4" t="s">
        <v>188</v>
      </c>
      <c r="N56" s="4"/>
    </row>
    <row r="57" customFormat="false" ht="15" hidden="false" customHeight="false" outlineLevel="0" collapsed="false">
      <c r="A57" s="4" t="s">
        <v>132</v>
      </c>
      <c r="B57" s="4" t="s">
        <v>578</v>
      </c>
      <c r="C57" s="4" t="s">
        <v>656</v>
      </c>
      <c r="D57" s="4" t="s">
        <v>657</v>
      </c>
      <c r="E57" s="4" t="s">
        <v>691</v>
      </c>
      <c r="F57" s="4" t="s">
        <v>692</v>
      </c>
      <c r="G57" s="4" t="s">
        <v>662</v>
      </c>
      <c r="H57" s="4" t="s">
        <v>663</v>
      </c>
      <c r="I57" s="4" t="s">
        <v>185</v>
      </c>
      <c r="J57" s="4" t="s">
        <v>184</v>
      </c>
      <c r="K57" s="4" t="s">
        <v>631</v>
      </c>
      <c r="L57" s="4" t="s">
        <v>736</v>
      </c>
      <c r="M57" s="4" t="s">
        <v>188</v>
      </c>
      <c r="N57" s="4" t="s">
        <v>665</v>
      </c>
    </row>
    <row r="58" customFormat="false" ht="15" hidden="false" customHeight="false" outlineLevel="0" collapsed="false">
      <c r="A58" s="4" t="s">
        <v>132</v>
      </c>
      <c r="B58" s="4" t="s">
        <v>578</v>
      </c>
      <c r="C58" s="4" t="s">
        <v>656</v>
      </c>
      <c r="D58" s="4" t="s">
        <v>657</v>
      </c>
      <c r="E58" s="4" t="s">
        <v>202</v>
      </c>
      <c r="F58" s="4" t="s">
        <v>694</v>
      </c>
      <c r="G58" s="4" t="s">
        <v>662</v>
      </c>
      <c r="H58" s="4" t="s">
        <v>663</v>
      </c>
      <c r="I58" s="4" t="s">
        <v>185</v>
      </c>
      <c r="J58" s="4" t="s">
        <v>184</v>
      </c>
      <c r="K58" s="4" t="s">
        <v>631</v>
      </c>
      <c r="L58" s="4" t="s">
        <v>737</v>
      </c>
      <c r="M58" s="4" t="s">
        <v>188</v>
      </c>
      <c r="N58" s="4"/>
    </row>
    <row r="59" customFormat="false" ht="15" hidden="false" customHeight="false" outlineLevel="0" collapsed="false">
      <c r="A59" s="4" t="s">
        <v>132</v>
      </c>
      <c r="B59" s="4" t="s">
        <v>578</v>
      </c>
      <c r="C59" s="4" t="s">
        <v>656</v>
      </c>
      <c r="D59" s="4" t="s">
        <v>657</v>
      </c>
      <c r="E59" s="4" t="s">
        <v>696</v>
      </c>
      <c r="F59" s="4" t="s">
        <v>697</v>
      </c>
      <c r="G59" s="4" t="s">
        <v>698</v>
      </c>
      <c r="H59" s="4" t="s">
        <v>648</v>
      </c>
      <c r="I59" s="4" t="s">
        <v>227</v>
      </c>
      <c r="J59" s="4"/>
      <c r="K59" s="4" t="s">
        <v>631</v>
      </c>
      <c r="L59" s="4"/>
      <c r="M59" s="4"/>
      <c r="N59" s="4"/>
    </row>
    <row r="60" customFormat="false" ht="15" hidden="false" customHeight="false" outlineLevel="0" collapsed="false">
      <c r="A60" s="4" t="s">
        <v>132</v>
      </c>
      <c r="B60" s="4" t="s">
        <v>578</v>
      </c>
      <c r="C60" s="4" t="s">
        <v>656</v>
      </c>
      <c r="D60" s="4" t="s">
        <v>657</v>
      </c>
      <c r="E60" s="4" t="s">
        <v>699</v>
      </c>
      <c r="F60" s="4" t="s">
        <v>700</v>
      </c>
      <c r="G60" s="4" t="s">
        <v>647</v>
      </c>
      <c r="H60" s="4" t="s">
        <v>648</v>
      </c>
      <c r="I60" s="4" t="s">
        <v>227</v>
      </c>
      <c r="J60" s="4"/>
      <c r="K60" s="4" t="s">
        <v>631</v>
      </c>
      <c r="L60" s="4"/>
      <c r="M60" s="4"/>
      <c r="N60" s="4"/>
    </row>
    <row r="61" customFormat="false" ht="15" hidden="false" customHeight="false" outlineLevel="0" collapsed="false">
      <c r="A61" s="4" t="s">
        <v>132</v>
      </c>
      <c r="B61" s="4" t="s">
        <v>578</v>
      </c>
      <c r="C61" s="4" t="s">
        <v>738</v>
      </c>
      <c r="D61" s="4" t="s">
        <v>739</v>
      </c>
      <c r="E61" s="4" t="s">
        <v>740</v>
      </c>
      <c r="F61" s="4" t="s">
        <v>741</v>
      </c>
      <c r="G61" s="4" t="s">
        <v>641</v>
      </c>
      <c r="H61" s="4" t="s">
        <v>648</v>
      </c>
      <c r="I61" s="4" t="s">
        <v>227</v>
      </c>
      <c r="J61" s="4"/>
      <c r="K61" s="4" t="s">
        <v>631</v>
      </c>
      <c r="L61" s="4"/>
      <c r="M61" s="4"/>
      <c r="N61" s="4"/>
    </row>
    <row r="62" customFormat="false" ht="15" hidden="false" customHeight="false" outlineLevel="0" collapsed="false">
      <c r="A62" s="4" t="s">
        <v>132</v>
      </c>
      <c r="B62" s="4" t="s">
        <v>578</v>
      </c>
      <c r="C62" s="4" t="s">
        <v>738</v>
      </c>
      <c r="D62" s="4" t="s">
        <v>739</v>
      </c>
      <c r="E62" s="4" t="s">
        <v>742</v>
      </c>
      <c r="F62" s="4" t="s">
        <v>743</v>
      </c>
      <c r="G62" s="4" t="s">
        <v>662</v>
      </c>
      <c r="H62" s="4" t="s">
        <v>704</v>
      </c>
      <c r="I62" s="4" t="s">
        <v>705</v>
      </c>
      <c r="J62" s="4" t="s">
        <v>706</v>
      </c>
      <c r="K62" s="4" t="s">
        <v>631</v>
      </c>
      <c r="L62" s="4"/>
      <c r="M62" s="4"/>
      <c r="N62" s="4"/>
    </row>
    <row r="63" customFormat="false" ht="15" hidden="false" customHeight="false" outlineLevel="0" collapsed="false">
      <c r="A63" s="4" t="s">
        <v>132</v>
      </c>
      <c r="B63" s="4" t="s">
        <v>578</v>
      </c>
      <c r="C63" s="4" t="s">
        <v>738</v>
      </c>
      <c r="D63" s="4" t="s">
        <v>739</v>
      </c>
      <c r="E63" s="4" t="s">
        <v>744</v>
      </c>
      <c r="F63" s="4" t="s">
        <v>745</v>
      </c>
      <c r="G63" s="4" t="s">
        <v>698</v>
      </c>
      <c r="H63" s="4" t="s">
        <v>648</v>
      </c>
      <c r="I63" s="4" t="s">
        <v>227</v>
      </c>
      <c r="J63" s="4"/>
      <c r="K63" s="4" t="s">
        <v>631</v>
      </c>
      <c r="L63" s="4"/>
      <c r="M63" s="4"/>
      <c r="N63" s="4"/>
    </row>
    <row r="64" customFormat="false" ht="15" hidden="false" customHeight="false" outlineLevel="0" collapsed="false">
      <c r="A64" s="4" t="s">
        <v>132</v>
      </c>
      <c r="B64" s="4" t="s">
        <v>578</v>
      </c>
      <c r="C64" s="4" t="s">
        <v>738</v>
      </c>
      <c r="D64" s="4" t="s">
        <v>739</v>
      </c>
      <c r="E64" s="4" t="s">
        <v>699</v>
      </c>
      <c r="F64" s="4" t="s">
        <v>700</v>
      </c>
      <c r="G64" s="4" t="s">
        <v>647</v>
      </c>
      <c r="H64" s="4" t="s">
        <v>648</v>
      </c>
      <c r="I64" s="4" t="s">
        <v>227</v>
      </c>
      <c r="J64" s="4"/>
      <c r="K64" s="4" t="s">
        <v>631</v>
      </c>
      <c r="L64" s="4"/>
      <c r="M64" s="4"/>
      <c r="N64" s="4"/>
    </row>
    <row r="65" customFormat="false" ht="23.85" hidden="false" customHeight="false" outlineLevel="0" collapsed="false">
      <c r="A65" s="4" t="s">
        <v>132</v>
      </c>
      <c r="B65" s="4" t="s">
        <v>578</v>
      </c>
      <c r="C65" s="4" t="s">
        <v>701</v>
      </c>
      <c r="D65" s="4"/>
      <c r="E65" s="4" t="s">
        <v>702</v>
      </c>
      <c r="F65" s="4" t="s">
        <v>703</v>
      </c>
      <c r="G65" s="4" t="s">
        <v>662</v>
      </c>
      <c r="H65" s="4" t="s">
        <v>704</v>
      </c>
      <c r="I65" s="4" t="s">
        <v>705</v>
      </c>
      <c r="J65" s="4" t="s">
        <v>706</v>
      </c>
      <c r="K65" s="4" t="s">
        <v>631</v>
      </c>
      <c r="L65" s="4"/>
      <c r="M65" s="4"/>
      <c r="N65" s="4"/>
    </row>
    <row r="66" customFormat="false" ht="23.85" hidden="false" customHeight="false" outlineLevel="0" collapsed="false">
      <c r="A66" s="4" t="s">
        <v>132</v>
      </c>
      <c r="B66" s="4" t="s">
        <v>578</v>
      </c>
      <c r="C66" s="4" t="s">
        <v>701</v>
      </c>
      <c r="D66" s="4"/>
      <c r="E66" s="4" t="s">
        <v>707</v>
      </c>
      <c r="F66" s="4" t="s">
        <v>746</v>
      </c>
      <c r="G66" s="4" t="s">
        <v>662</v>
      </c>
      <c r="H66" s="4" t="s">
        <v>704</v>
      </c>
      <c r="I66" s="4" t="s">
        <v>705</v>
      </c>
      <c r="J66" s="4" t="s">
        <v>706</v>
      </c>
      <c r="K66" s="4" t="s">
        <v>631</v>
      </c>
      <c r="L66" s="4"/>
      <c r="M66" s="4"/>
      <c r="N66" s="4"/>
    </row>
    <row r="67" customFormat="false" ht="23.85" hidden="false" customHeight="false" outlineLevel="0" collapsed="false">
      <c r="A67" s="4" t="s">
        <v>132</v>
      </c>
      <c r="B67" s="4" t="s">
        <v>578</v>
      </c>
      <c r="C67" s="4" t="s">
        <v>701</v>
      </c>
      <c r="D67" s="4"/>
      <c r="E67" s="4" t="s">
        <v>709</v>
      </c>
      <c r="F67" s="4" t="s">
        <v>747</v>
      </c>
      <c r="G67" s="4" t="s">
        <v>662</v>
      </c>
      <c r="H67" s="4" t="s">
        <v>704</v>
      </c>
      <c r="I67" s="4" t="s">
        <v>705</v>
      </c>
      <c r="J67" s="4" t="s">
        <v>706</v>
      </c>
      <c r="K67" s="4" t="s">
        <v>631</v>
      </c>
      <c r="L67" s="4"/>
      <c r="M67" s="4"/>
      <c r="N67" s="4"/>
    </row>
    <row r="68" customFormat="false" ht="23.85" hidden="false" customHeight="false" outlineLevel="0" collapsed="false">
      <c r="A68" s="4" t="s">
        <v>132</v>
      </c>
      <c r="B68" s="4" t="s">
        <v>578</v>
      </c>
      <c r="C68" s="4" t="s">
        <v>701</v>
      </c>
      <c r="D68" s="4"/>
      <c r="E68" s="4" t="s">
        <v>711</v>
      </c>
      <c r="F68" s="4" t="s">
        <v>712</v>
      </c>
      <c r="G68" s="4" t="s">
        <v>662</v>
      </c>
      <c r="H68" s="4" t="s">
        <v>713</v>
      </c>
      <c r="I68" s="4" t="s">
        <v>214</v>
      </c>
      <c r="J68" s="4" t="s">
        <v>241</v>
      </c>
      <c r="K68" s="4" t="s">
        <v>631</v>
      </c>
      <c r="L68" s="4" t="s">
        <v>714</v>
      </c>
      <c r="M68" s="4" t="s">
        <v>188</v>
      </c>
      <c r="N68" s="4" t="s">
        <v>715</v>
      </c>
    </row>
    <row r="69" customFormat="false" ht="23.85" hidden="false" customHeight="false" outlineLevel="0" collapsed="false">
      <c r="A69" s="4" t="s">
        <v>132</v>
      </c>
      <c r="B69" s="4" t="s">
        <v>578</v>
      </c>
      <c r="C69" s="4" t="s">
        <v>701</v>
      </c>
      <c r="D69" s="4"/>
      <c r="E69" s="4" t="s">
        <v>716</v>
      </c>
      <c r="F69" s="4" t="s">
        <v>717</v>
      </c>
      <c r="G69" s="4" t="s">
        <v>641</v>
      </c>
      <c r="H69" s="4" t="s">
        <v>642</v>
      </c>
      <c r="I69" s="4" t="s">
        <v>214</v>
      </c>
      <c r="J69" s="4"/>
      <c r="K69" s="4" t="s">
        <v>631</v>
      </c>
      <c r="L69" s="4"/>
      <c r="M69" s="4"/>
      <c r="N69" s="4"/>
    </row>
    <row r="70" customFormat="false" ht="23.85" hidden="false" customHeight="false" outlineLevel="0" collapsed="false">
      <c r="A70" s="4" t="s">
        <v>132</v>
      </c>
      <c r="B70" s="4" t="s">
        <v>578</v>
      </c>
      <c r="C70" s="4" t="s">
        <v>701</v>
      </c>
      <c r="D70" s="4"/>
      <c r="E70" s="4" t="s">
        <v>718</v>
      </c>
      <c r="F70" s="4" t="s">
        <v>719</v>
      </c>
      <c r="G70" s="4" t="s">
        <v>662</v>
      </c>
      <c r="H70" s="4" t="s">
        <v>713</v>
      </c>
      <c r="I70" s="4" t="s">
        <v>214</v>
      </c>
      <c r="J70" s="4" t="s">
        <v>238</v>
      </c>
      <c r="K70" s="4" t="s">
        <v>631</v>
      </c>
      <c r="L70" s="4"/>
      <c r="M70" s="4"/>
      <c r="N70" s="4" t="s">
        <v>720</v>
      </c>
    </row>
    <row r="71" customFormat="false" ht="15" hidden="false" customHeight="false" outlineLevel="0" collapsed="false">
      <c r="A71" s="4" t="s">
        <v>132</v>
      </c>
      <c r="B71" s="4" t="s">
        <v>578</v>
      </c>
      <c r="C71" s="4" t="s">
        <v>748</v>
      </c>
      <c r="D71" s="4"/>
      <c r="E71" s="4" t="s">
        <v>749</v>
      </c>
      <c r="F71" s="4" t="s">
        <v>750</v>
      </c>
      <c r="G71" s="4" t="s">
        <v>662</v>
      </c>
      <c r="H71" s="4" t="s">
        <v>751</v>
      </c>
      <c r="I71" s="4" t="s">
        <v>752</v>
      </c>
      <c r="J71" s="4" t="s">
        <v>241</v>
      </c>
      <c r="K71" s="4" t="s">
        <v>631</v>
      </c>
      <c r="L71" s="4" t="s">
        <v>753</v>
      </c>
      <c r="M71" s="4" t="s">
        <v>188</v>
      </c>
      <c r="N71" s="4"/>
    </row>
    <row r="72" customFormat="false" ht="15" hidden="false" customHeight="false" outlineLevel="0" collapsed="false">
      <c r="A72" s="4" t="s">
        <v>132</v>
      </c>
      <c r="B72" s="4" t="s">
        <v>578</v>
      </c>
      <c r="C72" s="4" t="s">
        <v>748</v>
      </c>
      <c r="D72" s="4"/>
      <c r="E72" s="4" t="s">
        <v>754</v>
      </c>
      <c r="F72" s="4" t="s">
        <v>755</v>
      </c>
      <c r="G72" s="4" t="s">
        <v>662</v>
      </c>
      <c r="H72" s="4" t="s">
        <v>751</v>
      </c>
      <c r="I72" s="4" t="s">
        <v>752</v>
      </c>
      <c r="J72" s="4" t="s">
        <v>756</v>
      </c>
      <c r="K72" s="4" t="s">
        <v>631</v>
      </c>
      <c r="L72" s="4" t="s">
        <v>757</v>
      </c>
      <c r="M72" s="4" t="s">
        <v>188</v>
      </c>
      <c r="N72" s="4" t="s">
        <v>758</v>
      </c>
    </row>
    <row r="73" customFormat="false" ht="15" hidden="false" customHeight="false" outlineLevel="0" collapsed="false">
      <c r="A73" s="4" t="s">
        <v>132</v>
      </c>
      <c r="B73" s="4" t="s">
        <v>578</v>
      </c>
      <c r="C73" s="4" t="s">
        <v>748</v>
      </c>
      <c r="D73" s="4"/>
      <c r="E73" s="4" t="s">
        <v>759</v>
      </c>
      <c r="F73" s="4" t="s">
        <v>760</v>
      </c>
      <c r="G73" s="4" t="s">
        <v>675</v>
      </c>
      <c r="H73" s="4" t="s">
        <v>648</v>
      </c>
      <c r="I73" s="4" t="s">
        <v>227</v>
      </c>
      <c r="J73" s="4"/>
      <c r="K73" s="4" t="s">
        <v>631</v>
      </c>
      <c r="L73" s="4"/>
      <c r="M73" s="4"/>
      <c r="N73" s="4" t="s">
        <v>761</v>
      </c>
    </row>
    <row r="74" customFormat="false" ht="15" hidden="false" customHeight="false" outlineLevel="0" collapsed="false">
      <c r="A74" s="4" t="s">
        <v>132</v>
      </c>
      <c r="B74" s="4" t="s">
        <v>578</v>
      </c>
      <c r="C74" s="4" t="s">
        <v>721</v>
      </c>
      <c r="D74" s="4"/>
      <c r="E74" s="4" t="s">
        <v>722</v>
      </c>
      <c r="F74" s="4" t="s">
        <v>723</v>
      </c>
      <c r="G74" s="4" t="s">
        <v>724</v>
      </c>
      <c r="H74" s="4" t="s">
        <v>648</v>
      </c>
      <c r="I74" s="4" t="s">
        <v>227</v>
      </c>
      <c r="J74" s="4"/>
      <c r="K74" s="4"/>
      <c r="L74" s="4"/>
      <c r="M74" s="4"/>
      <c r="N74" s="4"/>
    </row>
    <row r="75" customFormat="false" ht="15" hidden="false" customHeight="false" outlineLevel="0" collapsed="false">
      <c r="A75" s="4" t="s">
        <v>132</v>
      </c>
      <c r="B75" s="4" t="s">
        <v>578</v>
      </c>
      <c r="C75" s="4" t="s">
        <v>721</v>
      </c>
      <c r="D75" s="4"/>
      <c r="E75" s="4" t="s">
        <v>725</v>
      </c>
      <c r="F75" s="4" t="s">
        <v>726</v>
      </c>
      <c r="G75" s="4" t="s">
        <v>655</v>
      </c>
      <c r="H75" s="4" t="s">
        <v>648</v>
      </c>
      <c r="I75" s="4" t="s">
        <v>227</v>
      </c>
      <c r="J75" s="4"/>
      <c r="K75" s="4"/>
      <c r="L75" s="4"/>
      <c r="M75" s="4"/>
      <c r="N75" s="4"/>
    </row>
    <row r="76" customFormat="false" ht="15" hidden="false" customHeight="false" outlineLevel="0" collapsed="false">
      <c r="A76" s="4" t="s">
        <v>139</v>
      </c>
      <c r="B76" s="4" t="s">
        <v>579</v>
      </c>
      <c r="C76" s="4" t="s">
        <v>762</v>
      </c>
      <c r="D76" s="4"/>
      <c r="E76" s="4" t="s">
        <v>763</v>
      </c>
      <c r="F76" s="4" t="s">
        <v>764</v>
      </c>
      <c r="G76" s="4" t="s">
        <v>675</v>
      </c>
      <c r="H76" s="4" t="s">
        <v>638</v>
      </c>
      <c r="I76" s="4" t="s">
        <v>214</v>
      </c>
      <c r="J76" s="4"/>
      <c r="K76" s="4" t="s">
        <v>631</v>
      </c>
      <c r="L76" s="4"/>
      <c r="M76" s="4"/>
      <c r="N76" s="4" t="s">
        <v>765</v>
      </c>
    </row>
    <row r="77" customFormat="false" ht="15" hidden="false" customHeight="false" outlineLevel="0" collapsed="false">
      <c r="A77" s="4" t="s">
        <v>139</v>
      </c>
      <c r="B77" s="4" t="s">
        <v>579</v>
      </c>
      <c r="C77" s="4" t="s">
        <v>762</v>
      </c>
      <c r="D77" s="4"/>
      <c r="E77" s="4" t="s">
        <v>626</v>
      </c>
      <c r="F77" s="4" t="s">
        <v>766</v>
      </c>
      <c r="G77" s="4" t="s">
        <v>628</v>
      </c>
      <c r="H77" s="4" t="s">
        <v>629</v>
      </c>
      <c r="I77" s="4" t="s">
        <v>630</v>
      </c>
      <c r="J77" s="4"/>
      <c r="K77" s="4" t="s">
        <v>631</v>
      </c>
      <c r="L77" s="4"/>
      <c r="M77" s="4"/>
      <c r="N77" s="4" t="s">
        <v>767</v>
      </c>
    </row>
    <row r="78" customFormat="false" ht="15" hidden="false" customHeight="false" outlineLevel="0" collapsed="false">
      <c r="A78" s="4" t="s">
        <v>139</v>
      </c>
      <c r="B78" s="4" t="s">
        <v>579</v>
      </c>
      <c r="C78" s="4" t="s">
        <v>762</v>
      </c>
      <c r="D78" s="4"/>
      <c r="E78" s="4" t="s">
        <v>633</v>
      </c>
      <c r="F78" s="4" t="s">
        <v>768</v>
      </c>
      <c r="G78" s="4" t="s">
        <v>635</v>
      </c>
      <c r="H78" s="4" t="s">
        <v>629</v>
      </c>
      <c r="I78" s="4" t="s">
        <v>630</v>
      </c>
      <c r="J78" s="4"/>
      <c r="K78" s="4" t="s">
        <v>631</v>
      </c>
      <c r="L78" s="4"/>
      <c r="M78" s="4"/>
      <c r="N78" s="4"/>
    </row>
    <row r="79" customFormat="false" ht="15" hidden="false" customHeight="false" outlineLevel="0" collapsed="false">
      <c r="A79" s="4" t="s">
        <v>139</v>
      </c>
      <c r="B79" s="4" t="s">
        <v>579</v>
      </c>
      <c r="C79" s="4" t="s">
        <v>762</v>
      </c>
      <c r="D79" s="4"/>
      <c r="E79" s="4" t="s">
        <v>769</v>
      </c>
      <c r="F79" s="4" t="s">
        <v>770</v>
      </c>
      <c r="G79" s="4" t="s">
        <v>662</v>
      </c>
      <c r="H79" s="4" t="s">
        <v>704</v>
      </c>
      <c r="I79" s="4" t="s">
        <v>705</v>
      </c>
      <c r="J79" s="4" t="s">
        <v>706</v>
      </c>
      <c r="K79" s="4" t="s">
        <v>631</v>
      </c>
      <c r="L79" s="4"/>
      <c r="M79" s="4"/>
      <c r="N79" s="4"/>
    </row>
    <row r="80" customFormat="false" ht="15" hidden="false" customHeight="false" outlineLevel="0" collapsed="false">
      <c r="A80" s="4" t="s">
        <v>139</v>
      </c>
      <c r="B80" s="4" t="s">
        <v>579</v>
      </c>
      <c r="C80" s="4" t="s">
        <v>771</v>
      </c>
      <c r="D80" s="4"/>
      <c r="E80" s="4" t="s">
        <v>772</v>
      </c>
      <c r="F80" s="4" t="s">
        <v>773</v>
      </c>
      <c r="G80" s="4" t="s">
        <v>662</v>
      </c>
      <c r="H80" s="4" t="s">
        <v>713</v>
      </c>
      <c r="I80" s="4" t="s">
        <v>214</v>
      </c>
      <c r="J80" s="4" t="s">
        <v>774</v>
      </c>
      <c r="K80" s="4" t="s">
        <v>631</v>
      </c>
      <c r="L80" s="4"/>
      <c r="M80" s="4"/>
      <c r="N80" s="4" t="s">
        <v>775</v>
      </c>
    </row>
    <row r="81" customFormat="false" ht="15" hidden="false" customHeight="false" outlineLevel="0" collapsed="false">
      <c r="A81" s="4" t="s">
        <v>139</v>
      </c>
      <c r="B81" s="4" t="s">
        <v>579</v>
      </c>
      <c r="C81" s="4" t="s">
        <v>771</v>
      </c>
      <c r="D81" s="4"/>
      <c r="E81" s="4" t="s">
        <v>776</v>
      </c>
      <c r="F81" s="4" t="s">
        <v>777</v>
      </c>
      <c r="G81" s="4" t="s">
        <v>662</v>
      </c>
      <c r="H81" s="4" t="s">
        <v>648</v>
      </c>
      <c r="I81" s="4" t="s">
        <v>227</v>
      </c>
      <c r="J81" s="4" t="s">
        <v>774</v>
      </c>
      <c r="K81" s="4" t="s">
        <v>631</v>
      </c>
      <c r="L81" s="4"/>
      <c r="M81" s="4"/>
      <c r="N81" s="4" t="s">
        <v>778</v>
      </c>
    </row>
    <row r="82" customFormat="false" ht="15" hidden="false" customHeight="false" outlineLevel="0" collapsed="false">
      <c r="A82" s="4" t="s">
        <v>139</v>
      </c>
      <c r="B82" s="4" t="s">
        <v>579</v>
      </c>
      <c r="C82" s="4" t="s">
        <v>779</v>
      </c>
      <c r="D82" s="4" t="s">
        <v>780</v>
      </c>
      <c r="E82" s="4" t="s">
        <v>781</v>
      </c>
      <c r="F82" s="4" t="s">
        <v>782</v>
      </c>
      <c r="G82" s="4" t="s">
        <v>662</v>
      </c>
      <c r="H82" s="4" t="s">
        <v>638</v>
      </c>
      <c r="I82" s="4" t="s">
        <v>214</v>
      </c>
      <c r="J82" s="4"/>
      <c r="K82" s="4" t="s">
        <v>631</v>
      </c>
      <c r="L82" s="4" t="s">
        <v>783</v>
      </c>
      <c r="M82" s="4" t="s">
        <v>188</v>
      </c>
      <c r="N82" s="4"/>
    </row>
    <row r="83" customFormat="false" ht="15" hidden="false" customHeight="false" outlineLevel="0" collapsed="false">
      <c r="A83" s="4" t="s">
        <v>139</v>
      </c>
      <c r="B83" s="4" t="s">
        <v>579</v>
      </c>
      <c r="C83" s="4" t="s">
        <v>779</v>
      </c>
      <c r="D83" s="4" t="s">
        <v>780</v>
      </c>
      <c r="E83" s="4" t="s">
        <v>784</v>
      </c>
      <c r="F83" s="4" t="s">
        <v>785</v>
      </c>
      <c r="G83" s="4" t="s">
        <v>662</v>
      </c>
      <c r="H83" s="4" t="s">
        <v>663</v>
      </c>
      <c r="I83" s="4" t="s">
        <v>185</v>
      </c>
      <c r="J83" s="4" t="s">
        <v>184</v>
      </c>
      <c r="K83" s="4" t="s">
        <v>631</v>
      </c>
      <c r="L83" s="4"/>
      <c r="M83" s="4"/>
      <c r="N83" s="4"/>
    </row>
    <row r="84" customFormat="false" ht="15" hidden="false" customHeight="false" outlineLevel="0" collapsed="false">
      <c r="A84" s="4" t="s">
        <v>139</v>
      </c>
      <c r="B84" s="4" t="s">
        <v>579</v>
      </c>
      <c r="C84" s="4" t="s">
        <v>779</v>
      </c>
      <c r="D84" s="4" t="s">
        <v>780</v>
      </c>
      <c r="E84" s="4" t="s">
        <v>786</v>
      </c>
      <c r="F84" s="4" t="s">
        <v>787</v>
      </c>
      <c r="G84" s="4" t="s">
        <v>641</v>
      </c>
      <c r="H84" s="4" t="s">
        <v>642</v>
      </c>
      <c r="I84" s="4" t="s">
        <v>214</v>
      </c>
      <c r="J84" s="4"/>
      <c r="K84" s="4" t="s">
        <v>631</v>
      </c>
      <c r="L84" s="4"/>
      <c r="M84" s="4"/>
      <c r="N84" s="4"/>
    </row>
    <row r="85" customFormat="false" ht="15" hidden="false" customHeight="false" outlineLevel="0" collapsed="false">
      <c r="A85" s="4" t="s">
        <v>139</v>
      </c>
      <c r="B85" s="4" t="s">
        <v>579</v>
      </c>
      <c r="C85" s="4" t="s">
        <v>779</v>
      </c>
      <c r="D85" s="4" t="s">
        <v>780</v>
      </c>
      <c r="E85" s="4" t="s">
        <v>788</v>
      </c>
      <c r="F85" s="4" t="s">
        <v>789</v>
      </c>
      <c r="G85" s="4" t="s">
        <v>641</v>
      </c>
      <c r="H85" s="4" t="s">
        <v>642</v>
      </c>
      <c r="I85" s="4" t="s">
        <v>214</v>
      </c>
      <c r="J85" s="4"/>
      <c r="K85" s="4" t="s">
        <v>631</v>
      </c>
      <c r="L85" s="4"/>
      <c r="M85" s="4"/>
      <c r="N85" s="4"/>
    </row>
    <row r="86" customFormat="false" ht="15" hidden="false" customHeight="false" outlineLevel="0" collapsed="false">
      <c r="A86" s="4" t="s">
        <v>139</v>
      </c>
      <c r="B86" s="4" t="s">
        <v>579</v>
      </c>
      <c r="C86" s="4" t="s">
        <v>779</v>
      </c>
      <c r="D86" s="4" t="s">
        <v>780</v>
      </c>
      <c r="E86" s="4" t="s">
        <v>790</v>
      </c>
      <c r="F86" s="4" t="s">
        <v>791</v>
      </c>
      <c r="G86" s="4" t="s">
        <v>641</v>
      </c>
      <c r="H86" s="4" t="s">
        <v>642</v>
      </c>
      <c r="I86" s="4" t="s">
        <v>185</v>
      </c>
      <c r="J86" s="4"/>
      <c r="K86" s="4" t="s">
        <v>631</v>
      </c>
      <c r="L86" s="4"/>
      <c r="M86" s="4" t="s">
        <v>792</v>
      </c>
      <c r="N86" s="4" t="s">
        <v>793</v>
      </c>
    </row>
    <row r="87" customFormat="false" ht="15" hidden="false" customHeight="false" outlineLevel="0" collapsed="false">
      <c r="A87" s="4" t="s">
        <v>139</v>
      </c>
      <c r="B87" s="4" t="s">
        <v>579</v>
      </c>
      <c r="C87" s="4" t="s">
        <v>779</v>
      </c>
      <c r="D87" s="4" t="s">
        <v>780</v>
      </c>
      <c r="E87" s="4" t="s">
        <v>794</v>
      </c>
      <c r="F87" s="4" t="s">
        <v>795</v>
      </c>
      <c r="G87" s="4" t="s">
        <v>641</v>
      </c>
      <c r="H87" s="4" t="s">
        <v>642</v>
      </c>
      <c r="I87" s="4" t="s">
        <v>214</v>
      </c>
      <c r="J87" s="4"/>
      <c r="K87" s="4" t="s">
        <v>631</v>
      </c>
      <c r="L87" s="4"/>
      <c r="M87" s="4"/>
      <c r="N87" s="4"/>
    </row>
    <row r="88" customFormat="false" ht="15" hidden="false" customHeight="false" outlineLevel="0" collapsed="false">
      <c r="A88" s="4" t="s">
        <v>139</v>
      </c>
      <c r="B88" s="4" t="s">
        <v>579</v>
      </c>
      <c r="C88" s="4" t="s">
        <v>779</v>
      </c>
      <c r="D88" s="4" t="s">
        <v>780</v>
      </c>
      <c r="E88" s="4" t="s">
        <v>796</v>
      </c>
      <c r="F88" s="4" t="s">
        <v>797</v>
      </c>
      <c r="G88" s="4" t="s">
        <v>641</v>
      </c>
      <c r="H88" s="4" t="s">
        <v>642</v>
      </c>
      <c r="I88" s="4" t="s">
        <v>214</v>
      </c>
      <c r="J88" s="4"/>
      <c r="K88" s="4" t="s">
        <v>631</v>
      </c>
      <c r="L88" s="4"/>
      <c r="M88" s="4"/>
      <c r="N88" s="4"/>
    </row>
    <row r="89" customFormat="false" ht="15" hidden="false" customHeight="false" outlineLevel="0" collapsed="false">
      <c r="A89" s="4" t="s">
        <v>139</v>
      </c>
      <c r="B89" s="4" t="s">
        <v>579</v>
      </c>
      <c r="C89" s="4" t="s">
        <v>779</v>
      </c>
      <c r="D89" s="4" t="s">
        <v>780</v>
      </c>
      <c r="E89" s="4" t="s">
        <v>212</v>
      </c>
      <c r="F89" s="4" t="s">
        <v>798</v>
      </c>
      <c r="G89" s="4" t="s">
        <v>662</v>
      </c>
      <c r="H89" s="4" t="s">
        <v>713</v>
      </c>
      <c r="I89" s="4" t="s">
        <v>214</v>
      </c>
      <c r="J89" s="4" t="s">
        <v>184</v>
      </c>
      <c r="K89" s="4" t="s">
        <v>631</v>
      </c>
      <c r="L89" s="4" t="s">
        <v>799</v>
      </c>
      <c r="M89" s="4" t="s">
        <v>792</v>
      </c>
      <c r="N89" s="4" t="s">
        <v>800</v>
      </c>
    </row>
    <row r="90" customFormat="false" ht="23.85" hidden="false" customHeight="false" outlineLevel="0" collapsed="false">
      <c r="A90" s="4" t="s">
        <v>139</v>
      </c>
      <c r="B90" s="4" t="s">
        <v>579</v>
      </c>
      <c r="C90" s="4" t="s">
        <v>779</v>
      </c>
      <c r="D90" s="4" t="s">
        <v>780</v>
      </c>
      <c r="E90" s="4" t="s">
        <v>801</v>
      </c>
      <c r="F90" s="4" t="s">
        <v>802</v>
      </c>
      <c r="G90" s="4" t="s">
        <v>641</v>
      </c>
      <c r="H90" s="4" t="s">
        <v>648</v>
      </c>
      <c r="I90" s="4" t="s">
        <v>227</v>
      </c>
      <c r="J90" s="4"/>
      <c r="K90" s="4" t="s">
        <v>631</v>
      </c>
      <c r="L90" s="4"/>
      <c r="M90" s="4"/>
      <c r="N90" s="4"/>
    </row>
    <row r="91" customFormat="false" ht="15" hidden="false" customHeight="false" outlineLevel="0" collapsed="false">
      <c r="A91" s="4" t="s">
        <v>139</v>
      </c>
      <c r="B91" s="4" t="s">
        <v>579</v>
      </c>
      <c r="C91" s="4" t="s">
        <v>779</v>
      </c>
      <c r="D91" s="4" t="s">
        <v>780</v>
      </c>
      <c r="E91" s="4" t="s">
        <v>803</v>
      </c>
      <c r="F91" s="4" t="s">
        <v>804</v>
      </c>
      <c r="G91" s="4" t="s">
        <v>662</v>
      </c>
      <c r="H91" s="4" t="s">
        <v>648</v>
      </c>
      <c r="I91" s="4" t="s">
        <v>227</v>
      </c>
      <c r="J91" s="4" t="s">
        <v>774</v>
      </c>
      <c r="K91" s="4" t="s">
        <v>631</v>
      </c>
      <c r="L91" s="4"/>
      <c r="M91" s="4"/>
      <c r="N91" s="4"/>
    </row>
    <row r="92" customFormat="false" ht="15" hidden="false" customHeight="false" outlineLevel="0" collapsed="false">
      <c r="A92" s="4" t="s">
        <v>139</v>
      </c>
      <c r="B92" s="4" t="s">
        <v>579</v>
      </c>
      <c r="C92" s="4" t="s">
        <v>779</v>
      </c>
      <c r="D92" s="4" t="s">
        <v>780</v>
      </c>
      <c r="E92" s="4" t="s">
        <v>805</v>
      </c>
      <c r="F92" s="4" t="s">
        <v>806</v>
      </c>
      <c r="G92" s="4" t="s">
        <v>641</v>
      </c>
      <c r="H92" s="4" t="s">
        <v>648</v>
      </c>
      <c r="I92" s="4" t="s">
        <v>227</v>
      </c>
      <c r="J92" s="4"/>
      <c r="K92" s="4" t="s">
        <v>631</v>
      </c>
      <c r="L92" s="4"/>
      <c r="M92" s="4"/>
      <c r="N92" s="4"/>
    </row>
    <row r="93" customFormat="false" ht="15" hidden="false" customHeight="false" outlineLevel="0" collapsed="false">
      <c r="A93" s="4" t="s">
        <v>139</v>
      </c>
      <c r="B93" s="4" t="s">
        <v>579</v>
      </c>
      <c r="C93" s="4" t="s">
        <v>779</v>
      </c>
      <c r="D93" s="4" t="s">
        <v>780</v>
      </c>
      <c r="E93" s="4" t="s">
        <v>807</v>
      </c>
      <c r="F93" s="4" t="s">
        <v>808</v>
      </c>
      <c r="G93" s="4" t="s">
        <v>662</v>
      </c>
      <c r="H93" s="4" t="s">
        <v>648</v>
      </c>
      <c r="I93" s="4" t="s">
        <v>227</v>
      </c>
      <c r="J93" s="4" t="s">
        <v>774</v>
      </c>
      <c r="K93" s="4" t="s">
        <v>631</v>
      </c>
      <c r="L93" s="4"/>
      <c r="M93" s="4"/>
      <c r="N93" s="4"/>
    </row>
    <row r="94" customFormat="false" ht="15" hidden="false" customHeight="false" outlineLevel="0" collapsed="false">
      <c r="A94" s="4" t="s">
        <v>139</v>
      </c>
      <c r="B94" s="4" t="s">
        <v>579</v>
      </c>
      <c r="C94" s="4" t="s">
        <v>779</v>
      </c>
      <c r="D94" s="4" t="s">
        <v>780</v>
      </c>
      <c r="E94" s="4" t="s">
        <v>809</v>
      </c>
      <c r="F94" s="4" t="s">
        <v>810</v>
      </c>
      <c r="G94" s="4" t="s">
        <v>641</v>
      </c>
      <c r="H94" s="4" t="s">
        <v>648</v>
      </c>
      <c r="I94" s="4" t="s">
        <v>227</v>
      </c>
      <c r="J94" s="4"/>
      <c r="K94" s="4" t="s">
        <v>631</v>
      </c>
      <c r="L94" s="4"/>
      <c r="M94" s="4"/>
      <c r="N94" s="4"/>
    </row>
    <row r="95" customFormat="false" ht="15" hidden="false" customHeight="false" outlineLevel="0" collapsed="false">
      <c r="A95" s="4" t="s">
        <v>139</v>
      </c>
      <c r="B95" s="4" t="s">
        <v>579</v>
      </c>
      <c r="C95" s="4" t="s">
        <v>779</v>
      </c>
      <c r="D95" s="4" t="s">
        <v>780</v>
      </c>
      <c r="E95" s="4" t="s">
        <v>811</v>
      </c>
      <c r="F95" s="4" t="s">
        <v>812</v>
      </c>
      <c r="G95" s="4" t="s">
        <v>662</v>
      </c>
      <c r="H95" s="4" t="s">
        <v>648</v>
      </c>
      <c r="I95" s="4" t="s">
        <v>227</v>
      </c>
      <c r="J95" s="4" t="s">
        <v>774</v>
      </c>
      <c r="K95" s="4" t="s">
        <v>631</v>
      </c>
      <c r="L95" s="4"/>
      <c r="M95" s="4"/>
      <c r="N95" s="4"/>
    </row>
    <row r="96" customFormat="false" ht="15" hidden="false" customHeight="false" outlineLevel="0" collapsed="false">
      <c r="A96" s="4" t="s">
        <v>139</v>
      </c>
      <c r="B96" s="4" t="s">
        <v>579</v>
      </c>
      <c r="C96" s="4" t="s">
        <v>779</v>
      </c>
      <c r="D96" s="4" t="s">
        <v>780</v>
      </c>
      <c r="E96" s="4" t="s">
        <v>813</v>
      </c>
      <c r="F96" s="4" t="s">
        <v>814</v>
      </c>
      <c r="G96" s="4" t="s">
        <v>641</v>
      </c>
      <c r="H96" s="4" t="s">
        <v>648</v>
      </c>
      <c r="I96" s="4" t="s">
        <v>227</v>
      </c>
      <c r="J96" s="4"/>
      <c r="K96" s="4" t="s">
        <v>631</v>
      </c>
      <c r="L96" s="4"/>
      <c r="M96" s="4"/>
      <c r="N96" s="4"/>
    </row>
    <row r="97" customFormat="false" ht="15" hidden="false" customHeight="false" outlineLevel="0" collapsed="false">
      <c r="A97" s="4" t="s">
        <v>139</v>
      </c>
      <c r="B97" s="4" t="s">
        <v>579</v>
      </c>
      <c r="C97" s="4" t="s">
        <v>779</v>
      </c>
      <c r="D97" s="4" t="s">
        <v>780</v>
      </c>
      <c r="E97" s="4" t="s">
        <v>815</v>
      </c>
      <c r="F97" s="4" t="s">
        <v>816</v>
      </c>
      <c r="G97" s="4" t="s">
        <v>698</v>
      </c>
      <c r="H97" s="4" t="s">
        <v>648</v>
      </c>
      <c r="I97" s="4" t="s">
        <v>227</v>
      </c>
      <c r="J97" s="4"/>
      <c r="K97" s="4" t="s">
        <v>631</v>
      </c>
      <c r="L97" s="4"/>
      <c r="M97" s="4"/>
      <c r="N97" s="4"/>
    </row>
    <row r="98" customFormat="false" ht="15" hidden="false" customHeight="false" outlineLevel="0" collapsed="false">
      <c r="A98" s="4" t="s">
        <v>139</v>
      </c>
      <c r="B98" s="4" t="s">
        <v>579</v>
      </c>
      <c r="C98" s="4" t="s">
        <v>779</v>
      </c>
      <c r="D98" s="4" t="s">
        <v>780</v>
      </c>
      <c r="E98" s="4" t="s">
        <v>817</v>
      </c>
      <c r="F98" s="4" t="s">
        <v>818</v>
      </c>
      <c r="G98" s="4" t="s">
        <v>641</v>
      </c>
      <c r="H98" s="4" t="s">
        <v>648</v>
      </c>
      <c r="I98" s="4" t="s">
        <v>227</v>
      </c>
      <c r="J98" s="4"/>
      <c r="K98" s="4" t="s">
        <v>631</v>
      </c>
      <c r="L98" s="4"/>
      <c r="M98" s="4"/>
      <c r="N98" s="4"/>
    </row>
    <row r="99" customFormat="false" ht="15" hidden="false" customHeight="false" outlineLevel="0" collapsed="false">
      <c r="A99" s="4" t="s">
        <v>139</v>
      </c>
      <c r="B99" s="4" t="s">
        <v>579</v>
      </c>
      <c r="C99" s="4" t="s">
        <v>779</v>
      </c>
      <c r="D99" s="4" t="s">
        <v>780</v>
      </c>
      <c r="E99" s="4" t="s">
        <v>819</v>
      </c>
      <c r="F99" s="4" t="s">
        <v>820</v>
      </c>
      <c r="G99" s="4" t="s">
        <v>641</v>
      </c>
      <c r="H99" s="4" t="s">
        <v>648</v>
      </c>
      <c r="I99" s="4" t="s">
        <v>227</v>
      </c>
      <c r="J99" s="4"/>
      <c r="K99" s="4" t="s">
        <v>631</v>
      </c>
      <c r="L99" s="4"/>
      <c r="M99" s="4"/>
      <c r="N99" s="4"/>
    </row>
    <row r="100" customFormat="false" ht="15" hidden="false" customHeight="false" outlineLevel="0" collapsed="false">
      <c r="A100" s="4" t="s">
        <v>139</v>
      </c>
      <c r="B100" s="4" t="s">
        <v>579</v>
      </c>
      <c r="C100" s="4" t="s">
        <v>779</v>
      </c>
      <c r="D100" s="4" t="s">
        <v>780</v>
      </c>
      <c r="E100" s="4" t="s">
        <v>821</v>
      </c>
      <c r="F100" s="4" t="s">
        <v>822</v>
      </c>
      <c r="G100" s="4" t="s">
        <v>675</v>
      </c>
      <c r="H100" s="4" t="s">
        <v>648</v>
      </c>
      <c r="I100" s="4" t="s">
        <v>227</v>
      </c>
      <c r="J100" s="4"/>
      <c r="K100" s="4" t="s">
        <v>631</v>
      </c>
      <c r="L100" s="4"/>
      <c r="M100" s="4"/>
      <c r="N100" s="4" t="s">
        <v>823</v>
      </c>
    </row>
    <row r="101" customFormat="false" ht="15" hidden="false" customHeight="false" outlineLevel="0" collapsed="false">
      <c r="A101" s="4" t="s">
        <v>139</v>
      </c>
      <c r="B101" s="4" t="s">
        <v>579</v>
      </c>
      <c r="C101" s="4" t="s">
        <v>779</v>
      </c>
      <c r="D101" s="4" t="s">
        <v>780</v>
      </c>
      <c r="E101" s="4" t="s">
        <v>824</v>
      </c>
      <c r="F101" s="4" t="s">
        <v>825</v>
      </c>
      <c r="G101" s="4" t="s">
        <v>662</v>
      </c>
      <c r="H101" s="4" t="s">
        <v>704</v>
      </c>
      <c r="I101" s="4" t="s">
        <v>705</v>
      </c>
      <c r="J101" s="4" t="s">
        <v>706</v>
      </c>
      <c r="K101" s="4" t="s">
        <v>631</v>
      </c>
      <c r="L101" s="4"/>
      <c r="M101" s="4"/>
      <c r="N101" s="4"/>
    </row>
    <row r="102" customFormat="false" ht="15" hidden="false" customHeight="false" outlineLevel="0" collapsed="false">
      <c r="A102" s="4" t="s">
        <v>139</v>
      </c>
      <c r="B102" s="4" t="s">
        <v>579</v>
      </c>
      <c r="C102" s="4" t="s">
        <v>779</v>
      </c>
      <c r="D102" s="4" t="s">
        <v>780</v>
      </c>
      <c r="E102" s="4" t="s">
        <v>826</v>
      </c>
      <c r="F102" s="4" t="s">
        <v>827</v>
      </c>
      <c r="G102" s="4" t="s">
        <v>662</v>
      </c>
      <c r="H102" s="4" t="s">
        <v>713</v>
      </c>
      <c r="I102" s="4" t="s">
        <v>214</v>
      </c>
      <c r="J102" s="4" t="s">
        <v>241</v>
      </c>
      <c r="K102" s="4" t="s">
        <v>631</v>
      </c>
      <c r="L102" s="4"/>
      <c r="M102" s="4"/>
      <c r="N102" s="4" t="s">
        <v>828</v>
      </c>
    </row>
    <row r="103" customFormat="false" ht="23.85" hidden="false" customHeight="false" outlineLevel="0" collapsed="false">
      <c r="A103" s="4" t="s">
        <v>139</v>
      </c>
      <c r="B103" s="4" t="s">
        <v>579</v>
      </c>
      <c r="C103" s="4" t="s">
        <v>779</v>
      </c>
      <c r="D103" s="4" t="s">
        <v>780</v>
      </c>
      <c r="E103" s="4" t="s">
        <v>829</v>
      </c>
      <c r="F103" s="4" t="s">
        <v>830</v>
      </c>
      <c r="G103" s="4" t="s">
        <v>675</v>
      </c>
      <c r="H103" s="4" t="s">
        <v>648</v>
      </c>
      <c r="I103" s="4" t="s">
        <v>227</v>
      </c>
      <c r="J103" s="4"/>
      <c r="K103" s="4" t="s">
        <v>631</v>
      </c>
      <c r="L103" s="4"/>
      <c r="M103" s="4"/>
      <c r="N103" s="4" t="s">
        <v>831</v>
      </c>
    </row>
    <row r="104" customFormat="false" ht="15" hidden="false" customHeight="false" outlineLevel="0" collapsed="false">
      <c r="A104" s="4" t="s">
        <v>139</v>
      </c>
      <c r="B104" s="4" t="s">
        <v>579</v>
      </c>
      <c r="C104" s="4" t="s">
        <v>779</v>
      </c>
      <c r="D104" s="4" t="s">
        <v>780</v>
      </c>
      <c r="E104" s="4" t="s">
        <v>832</v>
      </c>
      <c r="F104" s="4" t="s">
        <v>833</v>
      </c>
      <c r="G104" s="4" t="s">
        <v>675</v>
      </c>
      <c r="H104" s="4" t="s">
        <v>648</v>
      </c>
      <c r="I104" s="4" t="s">
        <v>227</v>
      </c>
      <c r="J104" s="4"/>
      <c r="K104" s="4" t="s">
        <v>631</v>
      </c>
      <c r="L104" s="4"/>
      <c r="M104" s="4"/>
      <c r="N104" s="4" t="s">
        <v>834</v>
      </c>
    </row>
    <row r="105" customFormat="false" ht="15" hidden="false" customHeight="false" outlineLevel="0" collapsed="false">
      <c r="A105" s="4" t="s">
        <v>139</v>
      </c>
      <c r="B105" s="4" t="s">
        <v>579</v>
      </c>
      <c r="C105" s="4" t="s">
        <v>779</v>
      </c>
      <c r="D105" s="4" t="s">
        <v>780</v>
      </c>
      <c r="E105" s="4" t="s">
        <v>835</v>
      </c>
      <c r="F105" s="4" t="s">
        <v>836</v>
      </c>
      <c r="G105" s="4" t="s">
        <v>675</v>
      </c>
      <c r="H105" s="4" t="s">
        <v>648</v>
      </c>
      <c r="I105" s="4" t="s">
        <v>227</v>
      </c>
      <c r="J105" s="4"/>
      <c r="K105" s="4" t="s">
        <v>631</v>
      </c>
      <c r="L105" s="4"/>
      <c r="M105" s="4"/>
      <c r="N105" s="4" t="s">
        <v>837</v>
      </c>
    </row>
    <row r="106" customFormat="false" ht="15" hidden="false" customHeight="false" outlineLevel="0" collapsed="false">
      <c r="A106" s="4" t="s">
        <v>139</v>
      </c>
      <c r="B106" s="4" t="s">
        <v>579</v>
      </c>
      <c r="C106" s="4" t="s">
        <v>779</v>
      </c>
      <c r="D106" s="4" t="s">
        <v>780</v>
      </c>
      <c r="E106" s="4" t="s">
        <v>699</v>
      </c>
      <c r="F106" s="4" t="s">
        <v>700</v>
      </c>
      <c r="G106" s="4" t="s">
        <v>647</v>
      </c>
      <c r="H106" s="4" t="s">
        <v>648</v>
      </c>
      <c r="I106" s="4" t="s">
        <v>227</v>
      </c>
      <c r="J106" s="4"/>
      <c r="K106" s="4" t="s">
        <v>631</v>
      </c>
      <c r="L106" s="4"/>
      <c r="M106" s="4"/>
      <c r="N106" s="4"/>
    </row>
    <row r="107" customFormat="false" ht="15" hidden="false" customHeight="false" outlineLevel="0" collapsed="false">
      <c r="A107" s="4" t="s">
        <v>139</v>
      </c>
      <c r="B107" s="4" t="s">
        <v>579</v>
      </c>
      <c r="C107" s="4" t="s">
        <v>838</v>
      </c>
      <c r="D107" s="4"/>
      <c r="E107" s="4" t="s">
        <v>722</v>
      </c>
      <c r="F107" s="4" t="s">
        <v>723</v>
      </c>
      <c r="G107" s="4" t="s">
        <v>724</v>
      </c>
      <c r="H107" s="4" t="s">
        <v>648</v>
      </c>
      <c r="I107" s="4" t="s">
        <v>227</v>
      </c>
      <c r="J107" s="4"/>
      <c r="K107" s="4"/>
      <c r="L107" s="4"/>
      <c r="M107" s="4"/>
      <c r="N107" s="4"/>
    </row>
    <row r="108" customFormat="false" ht="15" hidden="false" customHeight="false" outlineLevel="0" collapsed="false">
      <c r="A108" s="4" t="s">
        <v>139</v>
      </c>
      <c r="B108" s="4" t="s">
        <v>579</v>
      </c>
      <c r="C108" s="4" t="s">
        <v>838</v>
      </c>
      <c r="D108" s="4"/>
      <c r="E108" s="4" t="s">
        <v>839</v>
      </c>
      <c r="F108" s="4" t="s">
        <v>840</v>
      </c>
      <c r="G108" s="4" t="s">
        <v>655</v>
      </c>
      <c r="H108" s="4" t="s">
        <v>648</v>
      </c>
      <c r="I108" s="4" t="s">
        <v>227</v>
      </c>
      <c r="J108" s="4"/>
      <c r="K108" s="4"/>
      <c r="L108" s="4"/>
      <c r="M108" s="4"/>
      <c r="N108" s="4"/>
    </row>
    <row r="109" customFormat="false" ht="15" hidden="false" customHeight="false" outlineLevel="0" collapsed="false">
      <c r="A109" s="4" t="s">
        <v>154</v>
      </c>
      <c r="B109" s="4" t="s">
        <v>583</v>
      </c>
      <c r="C109" s="4" t="s">
        <v>762</v>
      </c>
      <c r="D109" s="4"/>
      <c r="E109" s="4" t="s">
        <v>841</v>
      </c>
      <c r="F109" s="4" t="s">
        <v>842</v>
      </c>
      <c r="G109" s="4" t="s">
        <v>628</v>
      </c>
      <c r="H109" s="4" t="s">
        <v>629</v>
      </c>
      <c r="I109" s="4" t="s">
        <v>630</v>
      </c>
      <c r="J109" s="4"/>
      <c r="K109" s="4" t="s">
        <v>631</v>
      </c>
      <c r="L109" s="4"/>
      <c r="M109" s="4"/>
      <c r="N109" s="4" t="s">
        <v>843</v>
      </c>
    </row>
    <row r="110" customFormat="false" ht="15" hidden="false" customHeight="false" outlineLevel="0" collapsed="false">
      <c r="A110" s="4" t="s">
        <v>154</v>
      </c>
      <c r="B110" s="4" t="s">
        <v>583</v>
      </c>
      <c r="C110" s="4" t="s">
        <v>762</v>
      </c>
      <c r="D110" s="4"/>
      <c r="E110" s="4" t="s">
        <v>763</v>
      </c>
      <c r="F110" s="4" t="s">
        <v>764</v>
      </c>
      <c r="G110" s="4" t="s">
        <v>675</v>
      </c>
      <c r="H110" s="4" t="s">
        <v>638</v>
      </c>
      <c r="I110" s="4" t="s">
        <v>214</v>
      </c>
      <c r="J110" s="4"/>
      <c r="K110" s="4" t="s">
        <v>631</v>
      </c>
      <c r="L110" s="4"/>
      <c r="M110" s="4"/>
      <c r="N110" s="4" t="s">
        <v>844</v>
      </c>
    </row>
    <row r="111" customFormat="false" ht="15" hidden="false" customHeight="false" outlineLevel="0" collapsed="false">
      <c r="A111" s="4" t="s">
        <v>154</v>
      </c>
      <c r="B111" s="4" t="s">
        <v>583</v>
      </c>
      <c r="C111" s="4" t="s">
        <v>762</v>
      </c>
      <c r="D111" s="4"/>
      <c r="E111" s="4" t="s">
        <v>633</v>
      </c>
      <c r="F111" s="4" t="s">
        <v>845</v>
      </c>
      <c r="G111" s="4" t="s">
        <v>635</v>
      </c>
      <c r="H111" s="4" t="s">
        <v>629</v>
      </c>
      <c r="I111" s="4" t="s">
        <v>630</v>
      </c>
      <c r="J111" s="4"/>
      <c r="K111" s="4" t="s">
        <v>631</v>
      </c>
      <c r="L111" s="4"/>
      <c r="M111" s="4"/>
      <c r="N111" s="4"/>
    </row>
    <row r="112" customFormat="false" ht="15" hidden="false" customHeight="false" outlineLevel="0" collapsed="false">
      <c r="A112" s="4" t="s">
        <v>154</v>
      </c>
      <c r="B112" s="4" t="s">
        <v>583</v>
      </c>
      <c r="C112" s="4" t="s">
        <v>762</v>
      </c>
      <c r="D112" s="4"/>
      <c r="E112" s="4" t="s">
        <v>769</v>
      </c>
      <c r="F112" s="4" t="s">
        <v>770</v>
      </c>
      <c r="G112" s="4" t="s">
        <v>662</v>
      </c>
      <c r="H112" s="4" t="s">
        <v>704</v>
      </c>
      <c r="I112" s="4" t="s">
        <v>705</v>
      </c>
      <c r="J112" s="4" t="s">
        <v>706</v>
      </c>
      <c r="K112" s="4" t="s">
        <v>631</v>
      </c>
      <c r="L112" s="4"/>
      <c r="M112" s="4"/>
      <c r="N112" s="4"/>
    </row>
    <row r="113" customFormat="false" ht="15" hidden="false" customHeight="false" outlineLevel="0" collapsed="false">
      <c r="A113" s="4" t="s">
        <v>154</v>
      </c>
      <c r="B113" s="4" t="s">
        <v>583</v>
      </c>
      <c r="C113" s="4" t="s">
        <v>846</v>
      </c>
      <c r="D113" s="4"/>
      <c r="E113" s="4" t="s">
        <v>772</v>
      </c>
      <c r="F113" s="4" t="s">
        <v>847</v>
      </c>
      <c r="G113" s="4" t="s">
        <v>662</v>
      </c>
      <c r="H113" s="4" t="s">
        <v>713</v>
      </c>
      <c r="I113" s="4" t="s">
        <v>214</v>
      </c>
      <c r="J113" s="4" t="s">
        <v>774</v>
      </c>
      <c r="K113" s="4" t="s">
        <v>631</v>
      </c>
      <c r="L113" s="4"/>
      <c r="M113" s="4"/>
      <c r="N113" s="4" t="s">
        <v>848</v>
      </c>
    </row>
    <row r="114" customFormat="false" ht="15" hidden="false" customHeight="false" outlineLevel="0" collapsed="false">
      <c r="A114" s="4" t="s">
        <v>154</v>
      </c>
      <c r="B114" s="4" t="s">
        <v>583</v>
      </c>
      <c r="C114" s="4" t="s">
        <v>846</v>
      </c>
      <c r="D114" s="4"/>
      <c r="E114" s="4" t="s">
        <v>776</v>
      </c>
      <c r="F114" s="4" t="s">
        <v>849</v>
      </c>
      <c r="G114" s="4" t="s">
        <v>662</v>
      </c>
      <c r="H114" s="4" t="s">
        <v>648</v>
      </c>
      <c r="I114" s="4" t="s">
        <v>227</v>
      </c>
      <c r="J114" s="4" t="s">
        <v>774</v>
      </c>
      <c r="K114" s="4" t="s">
        <v>631</v>
      </c>
      <c r="L114" s="4"/>
      <c r="M114" s="4"/>
      <c r="N114" s="4"/>
    </row>
    <row r="115" customFormat="false" ht="15" hidden="false" customHeight="false" outlineLevel="0" collapsed="false">
      <c r="A115" s="4" t="s">
        <v>154</v>
      </c>
      <c r="B115" s="4" t="s">
        <v>583</v>
      </c>
      <c r="C115" s="4" t="s">
        <v>846</v>
      </c>
      <c r="D115" s="4"/>
      <c r="E115" s="4" t="s">
        <v>850</v>
      </c>
      <c r="F115" s="4" t="s">
        <v>851</v>
      </c>
      <c r="G115" s="4" t="s">
        <v>662</v>
      </c>
      <c r="H115" s="4" t="s">
        <v>713</v>
      </c>
      <c r="I115" s="4" t="s">
        <v>214</v>
      </c>
      <c r="J115" s="4" t="s">
        <v>706</v>
      </c>
      <c r="K115" s="4" t="s">
        <v>631</v>
      </c>
      <c r="L115" s="4"/>
      <c r="M115" s="4"/>
      <c r="N115" s="4" t="s">
        <v>852</v>
      </c>
    </row>
    <row r="116" customFormat="false" ht="15" hidden="false" customHeight="false" outlineLevel="0" collapsed="false">
      <c r="A116" s="4" t="s">
        <v>154</v>
      </c>
      <c r="B116" s="4" t="s">
        <v>583</v>
      </c>
      <c r="C116" s="4" t="s">
        <v>846</v>
      </c>
      <c r="D116" s="4"/>
      <c r="E116" s="4" t="s">
        <v>853</v>
      </c>
      <c r="F116" s="4" t="s">
        <v>854</v>
      </c>
      <c r="G116" s="4" t="s">
        <v>662</v>
      </c>
      <c r="H116" s="4" t="s">
        <v>648</v>
      </c>
      <c r="I116" s="4" t="s">
        <v>227</v>
      </c>
      <c r="J116" s="4" t="s">
        <v>706</v>
      </c>
      <c r="K116" s="4" t="s">
        <v>631</v>
      </c>
      <c r="L116" s="4"/>
      <c r="M116" s="4"/>
      <c r="N116" s="4" t="s">
        <v>778</v>
      </c>
    </row>
    <row r="117" customFormat="false" ht="23.85" hidden="false" customHeight="false" outlineLevel="0" collapsed="false">
      <c r="A117" s="4" t="s">
        <v>154</v>
      </c>
      <c r="B117" s="4" t="s">
        <v>583</v>
      </c>
      <c r="C117" s="4" t="s">
        <v>855</v>
      </c>
      <c r="D117" s="4"/>
      <c r="E117" s="4" t="s">
        <v>856</v>
      </c>
      <c r="F117" s="4" t="s">
        <v>857</v>
      </c>
      <c r="G117" s="4" t="s">
        <v>641</v>
      </c>
      <c r="H117" s="4" t="s">
        <v>642</v>
      </c>
      <c r="I117" s="4" t="s">
        <v>214</v>
      </c>
      <c r="J117" s="4"/>
      <c r="K117" s="4" t="s">
        <v>631</v>
      </c>
      <c r="L117" s="4"/>
      <c r="M117" s="4"/>
      <c r="N117" s="4"/>
    </row>
    <row r="118" customFormat="false" ht="23.85" hidden="false" customHeight="false" outlineLevel="0" collapsed="false">
      <c r="A118" s="4" t="s">
        <v>154</v>
      </c>
      <c r="B118" s="4" t="s">
        <v>583</v>
      </c>
      <c r="C118" s="4" t="s">
        <v>855</v>
      </c>
      <c r="D118" s="4"/>
      <c r="E118" s="4" t="s">
        <v>218</v>
      </c>
      <c r="F118" s="4" t="s">
        <v>858</v>
      </c>
      <c r="G118" s="4" t="s">
        <v>662</v>
      </c>
      <c r="H118" s="4" t="s">
        <v>663</v>
      </c>
      <c r="I118" s="4" t="s">
        <v>185</v>
      </c>
      <c r="J118" s="4" t="s">
        <v>184</v>
      </c>
      <c r="K118" s="4" t="s">
        <v>631</v>
      </c>
      <c r="L118" s="4" t="s">
        <v>859</v>
      </c>
      <c r="M118" s="4" t="s">
        <v>860</v>
      </c>
      <c r="N118" s="4"/>
    </row>
    <row r="119" customFormat="false" ht="23.85" hidden="false" customHeight="false" outlineLevel="0" collapsed="false">
      <c r="A119" s="4" t="s">
        <v>154</v>
      </c>
      <c r="B119" s="4" t="s">
        <v>583</v>
      </c>
      <c r="C119" s="4" t="s">
        <v>855</v>
      </c>
      <c r="D119" s="4"/>
      <c r="E119" s="4" t="s">
        <v>861</v>
      </c>
      <c r="F119" s="4" t="s">
        <v>862</v>
      </c>
      <c r="G119" s="4" t="s">
        <v>641</v>
      </c>
      <c r="H119" s="4" t="s">
        <v>648</v>
      </c>
      <c r="I119" s="4" t="s">
        <v>227</v>
      </c>
      <c r="J119" s="4"/>
      <c r="K119" s="4" t="s">
        <v>631</v>
      </c>
      <c r="L119" s="4"/>
      <c r="M119" s="4"/>
      <c r="N119" s="4"/>
    </row>
    <row r="120" customFormat="false" ht="23.85" hidden="false" customHeight="false" outlineLevel="0" collapsed="false">
      <c r="A120" s="4" t="s">
        <v>154</v>
      </c>
      <c r="B120" s="4" t="s">
        <v>583</v>
      </c>
      <c r="C120" s="4" t="s">
        <v>855</v>
      </c>
      <c r="D120" s="4"/>
      <c r="E120" s="4" t="s">
        <v>863</v>
      </c>
      <c r="F120" s="4" t="s">
        <v>864</v>
      </c>
      <c r="G120" s="4" t="s">
        <v>698</v>
      </c>
      <c r="H120" s="4" t="s">
        <v>648</v>
      </c>
      <c r="I120" s="4" t="s">
        <v>227</v>
      </c>
      <c r="J120" s="4"/>
      <c r="K120" s="4" t="s">
        <v>631</v>
      </c>
      <c r="L120" s="4"/>
      <c r="M120" s="4"/>
      <c r="N120" s="4"/>
    </row>
    <row r="121" customFormat="false" ht="23.85" hidden="false" customHeight="false" outlineLevel="0" collapsed="false">
      <c r="A121" s="4" t="s">
        <v>154</v>
      </c>
      <c r="B121" s="4" t="s">
        <v>583</v>
      </c>
      <c r="C121" s="4" t="s">
        <v>855</v>
      </c>
      <c r="D121" s="4"/>
      <c r="E121" s="4" t="s">
        <v>220</v>
      </c>
      <c r="F121" s="4" t="s">
        <v>865</v>
      </c>
      <c r="G121" s="4" t="s">
        <v>662</v>
      </c>
      <c r="H121" s="4" t="s">
        <v>642</v>
      </c>
      <c r="I121" s="4" t="s">
        <v>214</v>
      </c>
      <c r="J121" s="4" t="s">
        <v>184</v>
      </c>
      <c r="K121" s="4" t="s">
        <v>631</v>
      </c>
      <c r="L121" s="4" t="s">
        <v>866</v>
      </c>
      <c r="M121" s="4" t="s">
        <v>188</v>
      </c>
      <c r="N121" s="4" t="s">
        <v>867</v>
      </c>
    </row>
    <row r="122" customFormat="false" ht="23.85" hidden="false" customHeight="false" outlineLevel="0" collapsed="false">
      <c r="A122" s="4" t="s">
        <v>154</v>
      </c>
      <c r="B122" s="4" t="s">
        <v>583</v>
      </c>
      <c r="C122" s="4" t="s">
        <v>855</v>
      </c>
      <c r="D122" s="4"/>
      <c r="E122" s="4" t="s">
        <v>868</v>
      </c>
      <c r="F122" s="4" t="s">
        <v>869</v>
      </c>
      <c r="G122" s="4" t="s">
        <v>641</v>
      </c>
      <c r="H122" s="4" t="s">
        <v>642</v>
      </c>
      <c r="I122" s="4" t="s">
        <v>214</v>
      </c>
      <c r="J122" s="4"/>
      <c r="K122" s="4" t="s">
        <v>631</v>
      </c>
      <c r="L122" s="4"/>
      <c r="M122" s="4"/>
      <c r="N122" s="4"/>
    </row>
    <row r="123" customFormat="false" ht="23.85" hidden="false" customHeight="false" outlineLevel="0" collapsed="false">
      <c r="A123" s="4" t="s">
        <v>154</v>
      </c>
      <c r="B123" s="4" t="s">
        <v>583</v>
      </c>
      <c r="C123" s="4" t="s">
        <v>855</v>
      </c>
      <c r="D123" s="4"/>
      <c r="E123" s="4" t="s">
        <v>870</v>
      </c>
      <c r="F123" s="4" t="s">
        <v>871</v>
      </c>
      <c r="G123" s="4" t="s">
        <v>662</v>
      </c>
      <c r="H123" s="4" t="s">
        <v>713</v>
      </c>
      <c r="I123" s="4" t="s">
        <v>214</v>
      </c>
      <c r="J123" s="4" t="s">
        <v>184</v>
      </c>
      <c r="K123" s="4" t="s">
        <v>631</v>
      </c>
      <c r="L123" s="4"/>
      <c r="M123" s="4"/>
      <c r="N123" s="4" t="s">
        <v>872</v>
      </c>
    </row>
    <row r="124" customFormat="false" ht="23.85" hidden="false" customHeight="false" outlineLevel="0" collapsed="false">
      <c r="A124" s="4" t="s">
        <v>154</v>
      </c>
      <c r="B124" s="4" t="s">
        <v>583</v>
      </c>
      <c r="C124" s="4" t="s">
        <v>855</v>
      </c>
      <c r="D124" s="4"/>
      <c r="E124" s="4" t="s">
        <v>873</v>
      </c>
      <c r="F124" s="4" t="s">
        <v>874</v>
      </c>
      <c r="G124" s="4" t="s">
        <v>662</v>
      </c>
      <c r="H124" s="4" t="s">
        <v>713</v>
      </c>
      <c r="I124" s="4" t="s">
        <v>214</v>
      </c>
      <c r="J124" s="4" t="s">
        <v>875</v>
      </c>
      <c r="K124" s="4" t="s">
        <v>631</v>
      </c>
      <c r="L124" s="4"/>
      <c r="M124" s="4"/>
      <c r="N124" s="4"/>
    </row>
    <row r="125" customFormat="false" ht="23.85" hidden="false" customHeight="false" outlineLevel="0" collapsed="false">
      <c r="A125" s="4" t="s">
        <v>154</v>
      </c>
      <c r="B125" s="4" t="s">
        <v>583</v>
      </c>
      <c r="C125" s="4" t="s">
        <v>855</v>
      </c>
      <c r="D125" s="4"/>
      <c r="E125" s="4" t="s">
        <v>876</v>
      </c>
      <c r="F125" s="4" t="s">
        <v>877</v>
      </c>
      <c r="G125" s="4" t="s">
        <v>662</v>
      </c>
      <c r="H125" s="4" t="s">
        <v>663</v>
      </c>
      <c r="I125" s="4" t="s">
        <v>185</v>
      </c>
      <c r="J125" s="4" t="s">
        <v>184</v>
      </c>
      <c r="K125" s="4" t="s">
        <v>631</v>
      </c>
      <c r="L125" s="4" t="s">
        <v>878</v>
      </c>
      <c r="M125" s="4" t="s">
        <v>188</v>
      </c>
      <c r="N125" s="4"/>
    </row>
    <row r="126" customFormat="false" ht="23.85" hidden="false" customHeight="false" outlineLevel="0" collapsed="false">
      <c r="A126" s="4" t="s">
        <v>154</v>
      </c>
      <c r="B126" s="4" t="s">
        <v>583</v>
      </c>
      <c r="C126" s="4" t="s">
        <v>855</v>
      </c>
      <c r="D126" s="4"/>
      <c r="E126" s="4" t="s">
        <v>879</v>
      </c>
      <c r="F126" s="4" t="s">
        <v>880</v>
      </c>
      <c r="G126" s="4" t="s">
        <v>641</v>
      </c>
      <c r="H126" s="4" t="s">
        <v>642</v>
      </c>
      <c r="I126" s="4" t="s">
        <v>214</v>
      </c>
      <c r="J126" s="4"/>
      <c r="K126" s="4" t="s">
        <v>631</v>
      </c>
      <c r="L126" s="4"/>
      <c r="M126" s="4"/>
      <c r="N126" s="4"/>
    </row>
    <row r="127" customFormat="false" ht="23.85" hidden="false" customHeight="false" outlineLevel="0" collapsed="false">
      <c r="A127" s="4" t="s">
        <v>154</v>
      </c>
      <c r="B127" s="4" t="s">
        <v>583</v>
      </c>
      <c r="C127" s="4" t="s">
        <v>855</v>
      </c>
      <c r="D127" s="4"/>
      <c r="E127" s="4" t="s">
        <v>881</v>
      </c>
      <c r="F127" s="4" t="s">
        <v>882</v>
      </c>
      <c r="G127" s="4" t="s">
        <v>641</v>
      </c>
      <c r="H127" s="4" t="s">
        <v>642</v>
      </c>
      <c r="I127" s="4" t="s">
        <v>214</v>
      </c>
      <c r="J127" s="4"/>
      <c r="K127" s="4" t="s">
        <v>631</v>
      </c>
      <c r="L127" s="4"/>
      <c r="M127" s="4"/>
      <c r="N127" s="4"/>
    </row>
    <row r="128" customFormat="false" ht="23.85" hidden="false" customHeight="false" outlineLevel="0" collapsed="false">
      <c r="A128" s="4" t="s">
        <v>154</v>
      </c>
      <c r="B128" s="4" t="s">
        <v>583</v>
      </c>
      <c r="C128" s="4" t="s">
        <v>855</v>
      </c>
      <c r="D128" s="4"/>
      <c r="E128" s="4" t="s">
        <v>883</v>
      </c>
      <c r="F128" s="4" t="s">
        <v>884</v>
      </c>
      <c r="G128" s="4" t="s">
        <v>662</v>
      </c>
      <c r="H128" s="4" t="s">
        <v>713</v>
      </c>
      <c r="I128" s="4" t="s">
        <v>214</v>
      </c>
      <c r="J128" s="4" t="s">
        <v>241</v>
      </c>
      <c r="K128" s="4" t="s">
        <v>631</v>
      </c>
      <c r="L128" s="4" t="s">
        <v>885</v>
      </c>
      <c r="M128" s="4" t="s">
        <v>860</v>
      </c>
      <c r="N128" s="4" t="s">
        <v>886</v>
      </c>
    </row>
    <row r="129" customFormat="false" ht="15" hidden="false" customHeight="false" outlineLevel="0" collapsed="false">
      <c r="A129" s="4" t="s">
        <v>154</v>
      </c>
      <c r="B129" s="4" t="s">
        <v>583</v>
      </c>
      <c r="C129" s="4" t="s">
        <v>887</v>
      </c>
      <c r="D129" s="4" t="s">
        <v>888</v>
      </c>
      <c r="E129" s="4" t="s">
        <v>889</v>
      </c>
      <c r="F129" s="4" t="s">
        <v>890</v>
      </c>
      <c r="G129" s="4" t="s">
        <v>662</v>
      </c>
      <c r="H129" s="4" t="s">
        <v>638</v>
      </c>
      <c r="I129" s="4" t="s">
        <v>214</v>
      </c>
      <c r="J129" s="4"/>
      <c r="K129" s="4" t="s">
        <v>631</v>
      </c>
      <c r="L129" s="4"/>
      <c r="M129" s="4"/>
      <c r="N129" s="4"/>
    </row>
    <row r="130" customFormat="false" ht="15" hidden="false" customHeight="false" outlineLevel="0" collapsed="false">
      <c r="A130" s="4" t="s">
        <v>154</v>
      </c>
      <c r="B130" s="4" t="s">
        <v>583</v>
      </c>
      <c r="C130" s="4" t="s">
        <v>887</v>
      </c>
      <c r="D130" s="4" t="s">
        <v>888</v>
      </c>
      <c r="E130" s="4" t="s">
        <v>891</v>
      </c>
      <c r="F130" s="4" t="s">
        <v>892</v>
      </c>
      <c r="G130" s="4" t="s">
        <v>698</v>
      </c>
      <c r="H130" s="4" t="s">
        <v>648</v>
      </c>
      <c r="I130" s="4" t="s">
        <v>227</v>
      </c>
      <c r="J130" s="4"/>
      <c r="K130" s="4" t="s">
        <v>631</v>
      </c>
      <c r="L130" s="4"/>
      <c r="M130" s="4"/>
      <c r="N130" s="4"/>
    </row>
    <row r="131" customFormat="false" ht="15" hidden="false" customHeight="false" outlineLevel="0" collapsed="false">
      <c r="A131" s="4" t="s">
        <v>154</v>
      </c>
      <c r="B131" s="4" t="s">
        <v>583</v>
      </c>
      <c r="C131" s="4" t="s">
        <v>887</v>
      </c>
      <c r="D131" s="4" t="s">
        <v>888</v>
      </c>
      <c r="E131" s="4" t="s">
        <v>893</v>
      </c>
      <c r="F131" s="4" t="s">
        <v>255</v>
      </c>
      <c r="G131" s="4" t="s">
        <v>662</v>
      </c>
      <c r="H131" s="4" t="s">
        <v>648</v>
      </c>
      <c r="I131" s="4" t="s">
        <v>227</v>
      </c>
      <c r="J131" s="4" t="s">
        <v>226</v>
      </c>
      <c r="K131" s="4" t="s">
        <v>631</v>
      </c>
      <c r="L131" s="4" t="s">
        <v>894</v>
      </c>
      <c r="M131" s="4" t="s">
        <v>188</v>
      </c>
      <c r="N131" s="4" t="s">
        <v>895</v>
      </c>
    </row>
    <row r="132" customFormat="false" ht="15" hidden="false" customHeight="false" outlineLevel="0" collapsed="false">
      <c r="A132" s="4" t="s">
        <v>154</v>
      </c>
      <c r="B132" s="4" t="s">
        <v>583</v>
      </c>
      <c r="C132" s="4" t="s">
        <v>887</v>
      </c>
      <c r="D132" s="4" t="s">
        <v>888</v>
      </c>
      <c r="E132" s="4" t="s">
        <v>896</v>
      </c>
      <c r="F132" s="4" t="s">
        <v>897</v>
      </c>
      <c r="G132" s="4" t="s">
        <v>641</v>
      </c>
      <c r="H132" s="4" t="s">
        <v>648</v>
      </c>
      <c r="I132" s="4" t="s">
        <v>227</v>
      </c>
      <c r="J132" s="4"/>
      <c r="K132" s="4" t="s">
        <v>631</v>
      </c>
      <c r="L132" s="4"/>
      <c r="M132" s="4"/>
      <c r="N132" s="4"/>
    </row>
    <row r="133" customFormat="false" ht="15" hidden="false" customHeight="false" outlineLevel="0" collapsed="false">
      <c r="A133" s="4" t="s">
        <v>154</v>
      </c>
      <c r="B133" s="4" t="s">
        <v>583</v>
      </c>
      <c r="C133" s="4" t="s">
        <v>887</v>
      </c>
      <c r="D133" s="4" t="s">
        <v>888</v>
      </c>
      <c r="E133" s="4" t="s">
        <v>699</v>
      </c>
      <c r="F133" s="4" t="s">
        <v>700</v>
      </c>
      <c r="G133" s="4" t="s">
        <v>647</v>
      </c>
      <c r="H133" s="4" t="s">
        <v>648</v>
      </c>
      <c r="I133" s="4" t="s">
        <v>227</v>
      </c>
      <c r="J133" s="4"/>
      <c r="K133" s="4" t="s">
        <v>631</v>
      </c>
      <c r="L133" s="4"/>
      <c r="M133" s="4"/>
      <c r="N133" s="4"/>
    </row>
    <row r="134" customFormat="false" ht="15" hidden="false" customHeight="false" outlineLevel="0" collapsed="false">
      <c r="A134" s="4" t="s">
        <v>154</v>
      </c>
      <c r="B134" s="4" t="s">
        <v>583</v>
      </c>
      <c r="C134" s="4" t="s">
        <v>898</v>
      </c>
      <c r="D134" s="4"/>
      <c r="E134" s="4" t="s">
        <v>899</v>
      </c>
      <c r="F134" s="4" t="s">
        <v>900</v>
      </c>
      <c r="G134" s="4" t="s">
        <v>662</v>
      </c>
      <c r="H134" s="4" t="s">
        <v>704</v>
      </c>
      <c r="I134" s="4" t="s">
        <v>705</v>
      </c>
      <c r="J134" s="4" t="s">
        <v>706</v>
      </c>
      <c r="K134" s="4" t="s">
        <v>631</v>
      </c>
      <c r="L134" s="4"/>
      <c r="M134" s="4"/>
      <c r="N134" s="4"/>
    </row>
    <row r="135" customFormat="false" ht="15" hidden="false" customHeight="false" outlineLevel="0" collapsed="false">
      <c r="A135" s="4" t="s">
        <v>154</v>
      </c>
      <c r="B135" s="4" t="s">
        <v>583</v>
      </c>
      <c r="C135" s="4" t="s">
        <v>898</v>
      </c>
      <c r="D135" s="4"/>
      <c r="E135" s="4" t="s">
        <v>826</v>
      </c>
      <c r="F135" s="4" t="s">
        <v>901</v>
      </c>
      <c r="G135" s="4" t="s">
        <v>662</v>
      </c>
      <c r="H135" s="4" t="s">
        <v>713</v>
      </c>
      <c r="I135" s="4" t="s">
        <v>214</v>
      </c>
      <c r="J135" s="4" t="s">
        <v>241</v>
      </c>
      <c r="K135" s="4" t="s">
        <v>631</v>
      </c>
      <c r="L135" s="4"/>
      <c r="M135" s="4"/>
      <c r="N135" s="4"/>
    </row>
    <row r="136" customFormat="false" ht="15" hidden="false" customHeight="false" outlineLevel="0" collapsed="false">
      <c r="A136" s="4" t="s">
        <v>154</v>
      </c>
      <c r="B136" s="4" t="s">
        <v>583</v>
      </c>
      <c r="C136" s="4" t="s">
        <v>898</v>
      </c>
      <c r="D136" s="4"/>
      <c r="E136" s="4" t="s">
        <v>839</v>
      </c>
      <c r="F136" s="4" t="s">
        <v>840</v>
      </c>
      <c r="G136" s="4" t="s">
        <v>655</v>
      </c>
      <c r="H136" s="4" t="s">
        <v>648</v>
      </c>
      <c r="I136" s="4" t="s">
        <v>227</v>
      </c>
      <c r="J136" s="4"/>
      <c r="K136" s="4"/>
      <c r="L136" s="4"/>
      <c r="M136" s="4"/>
      <c r="N136" s="4"/>
    </row>
    <row r="137" customFormat="false" ht="15" hidden="false" customHeight="false" outlineLevel="0" collapsed="false">
      <c r="A137" s="4" t="s">
        <v>154</v>
      </c>
      <c r="B137" s="4" t="s">
        <v>583</v>
      </c>
      <c r="C137" s="4" t="s">
        <v>898</v>
      </c>
      <c r="D137" s="4"/>
      <c r="E137" s="4" t="s">
        <v>699</v>
      </c>
      <c r="F137" s="4" t="s">
        <v>700</v>
      </c>
      <c r="G137" s="4" t="s">
        <v>647</v>
      </c>
      <c r="H137" s="4" t="s">
        <v>648</v>
      </c>
      <c r="I137" s="4" t="s">
        <v>227</v>
      </c>
      <c r="J137" s="4"/>
      <c r="K137" s="4" t="s">
        <v>631</v>
      </c>
      <c r="L137" s="4"/>
      <c r="M137" s="4"/>
      <c r="N137" s="4"/>
    </row>
    <row r="138" customFormat="false" ht="15" hidden="false" customHeight="false" outlineLevel="0" collapsed="false">
      <c r="A138" s="4" t="s">
        <v>73</v>
      </c>
      <c r="B138" s="4" t="s">
        <v>587</v>
      </c>
      <c r="C138" s="4" t="s">
        <v>762</v>
      </c>
      <c r="D138" s="4"/>
      <c r="E138" s="4" t="s">
        <v>902</v>
      </c>
      <c r="F138" s="4" t="s">
        <v>903</v>
      </c>
      <c r="G138" s="4" t="s">
        <v>628</v>
      </c>
      <c r="H138" s="4" t="s">
        <v>629</v>
      </c>
      <c r="I138" s="4" t="s">
        <v>630</v>
      </c>
      <c r="J138" s="4"/>
      <c r="K138" s="4" t="s">
        <v>631</v>
      </c>
      <c r="L138" s="4"/>
      <c r="M138" s="4"/>
      <c r="N138" s="4"/>
    </row>
    <row r="139" customFormat="false" ht="15" hidden="false" customHeight="false" outlineLevel="0" collapsed="false">
      <c r="A139" s="4" t="s">
        <v>73</v>
      </c>
      <c r="B139" s="4" t="s">
        <v>587</v>
      </c>
      <c r="C139" s="4" t="s">
        <v>762</v>
      </c>
      <c r="D139" s="4"/>
      <c r="E139" s="4" t="s">
        <v>904</v>
      </c>
      <c r="F139" s="4" t="s">
        <v>905</v>
      </c>
      <c r="G139" s="4" t="s">
        <v>675</v>
      </c>
      <c r="H139" s="4" t="s">
        <v>638</v>
      </c>
      <c r="I139" s="4" t="s">
        <v>214</v>
      </c>
      <c r="J139" s="4"/>
      <c r="K139" s="4" t="s">
        <v>631</v>
      </c>
      <c r="L139" s="4"/>
      <c r="M139" s="4"/>
      <c r="N139" s="4" t="s">
        <v>906</v>
      </c>
    </row>
    <row r="140" customFormat="false" ht="15" hidden="false" customHeight="false" outlineLevel="0" collapsed="false">
      <c r="A140" s="4" t="s">
        <v>73</v>
      </c>
      <c r="B140" s="4" t="s">
        <v>587</v>
      </c>
      <c r="C140" s="4" t="s">
        <v>762</v>
      </c>
      <c r="D140" s="4"/>
      <c r="E140" s="4" t="s">
        <v>907</v>
      </c>
      <c r="F140" s="4" t="s">
        <v>908</v>
      </c>
      <c r="G140" s="4" t="s">
        <v>909</v>
      </c>
      <c r="H140" s="4" t="s">
        <v>629</v>
      </c>
      <c r="I140" s="4" t="s">
        <v>630</v>
      </c>
      <c r="J140" s="4"/>
      <c r="K140" s="4" t="s">
        <v>631</v>
      </c>
      <c r="L140" s="4"/>
      <c r="M140" s="4"/>
      <c r="N140" s="4"/>
    </row>
    <row r="141" customFormat="false" ht="15" hidden="false" customHeight="false" outlineLevel="0" collapsed="false">
      <c r="A141" s="4" t="s">
        <v>73</v>
      </c>
      <c r="B141" s="4" t="s">
        <v>587</v>
      </c>
      <c r="C141" s="4" t="s">
        <v>762</v>
      </c>
      <c r="D141" s="4"/>
      <c r="E141" s="4" t="s">
        <v>910</v>
      </c>
      <c r="F141" s="4" t="s">
        <v>911</v>
      </c>
      <c r="G141" s="4" t="s">
        <v>662</v>
      </c>
      <c r="H141" s="4" t="s">
        <v>704</v>
      </c>
      <c r="I141" s="4" t="s">
        <v>705</v>
      </c>
      <c r="J141" s="4" t="s">
        <v>706</v>
      </c>
      <c r="K141" s="4" t="s">
        <v>631</v>
      </c>
      <c r="L141" s="4"/>
      <c r="M141" s="4"/>
      <c r="N141" s="4"/>
    </row>
    <row r="142" customFormat="false" ht="15" hidden="false" customHeight="false" outlineLevel="0" collapsed="false">
      <c r="A142" s="4" t="s">
        <v>73</v>
      </c>
      <c r="B142" s="4" t="s">
        <v>587</v>
      </c>
      <c r="C142" s="4" t="s">
        <v>912</v>
      </c>
      <c r="D142" s="4"/>
      <c r="E142" s="4" t="s">
        <v>913</v>
      </c>
      <c r="F142" s="4" t="s">
        <v>914</v>
      </c>
      <c r="G142" s="4" t="s">
        <v>641</v>
      </c>
      <c r="H142" s="4" t="s">
        <v>642</v>
      </c>
      <c r="I142" s="4" t="s">
        <v>242</v>
      </c>
      <c r="J142" s="4"/>
      <c r="K142" s="4" t="s">
        <v>631</v>
      </c>
      <c r="L142" s="4"/>
      <c r="M142" s="4"/>
      <c r="N142" s="4"/>
    </row>
    <row r="143" customFormat="false" ht="15" hidden="false" customHeight="false" outlineLevel="0" collapsed="false">
      <c r="A143" s="4" t="s">
        <v>73</v>
      </c>
      <c r="B143" s="4" t="s">
        <v>587</v>
      </c>
      <c r="C143" s="4" t="s">
        <v>912</v>
      </c>
      <c r="D143" s="4"/>
      <c r="E143" s="4" t="s">
        <v>915</v>
      </c>
      <c r="F143" s="4" t="s">
        <v>916</v>
      </c>
      <c r="G143" s="4" t="s">
        <v>641</v>
      </c>
      <c r="H143" s="4" t="s">
        <v>642</v>
      </c>
      <c r="I143" s="4" t="s">
        <v>242</v>
      </c>
      <c r="J143" s="4"/>
      <c r="K143" s="4" t="s">
        <v>631</v>
      </c>
      <c r="L143" s="4"/>
      <c r="M143" s="4"/>
      <c r="N143" s="4"/>
    </row>
    <row r="144" customFormat="false" ht="15" hidden="false" customHeight="false" outlineLevel="0" collapsed="false">
      <c r="A144" s="4" t="s">
        <v>73</v>
      </c>
      <c r="B144" s="4" t="s">
        <v>587</v>
      </c>
      <c r="C144" s="4" t="s">
        <v>912</v>
      </c>
      <c r="D144" s="4"/>
      <c r="E144" s="4" t="s">
        <v>917</v>
      </c>
      <c r="F144" s="4" t="s">
        <v>918</v>
      </c>
      <c r="G144" s="4" t="s">
        <v>641</v>
      </c>
      <c r="H144" s="4" t="s">
        <v>642</v>
      </c>
      <c r="I144" s="4" t="s">
        <v>242</v>
      </c>
      <c r="J144" s="4"/>
      <c r="K144" s="4" t="s">
        <v>631</v>
      </c>
      <c r="L144" s="4"/>
      <c r="M144" s="4"/>
      <c r="N144" s="4"/>
    </row>
    <row r="145" customFormat="false" ht="15" hidden="false" customHeight="false" outlineLevel="0" collapsed="false">
      <c r="A145" s="4" t="s">
        <v>73</v>
      </c>
      <c r="B145" s="4" t="s">
        <v>587</v>
      </c>
      <c r="C145" s="4" t="s">
        <v>912</v>
      </c>
      <c r="D145" s="4"/>
      <c r="E145" s="4" t="s">
        <v>919</v>
      </c>
      <c r="F145" s="4" t="s">
        <v>920</v>
      </c>
      <c r="G145" s="4" t="s">
        <v>641</v>
      </c>
      <c r="H145" s="4" t="s">
        <v>642</v>
      </c>
      <c r="I145" s="4" t="s">
        <v>242</v>
      </c>
      <c r="J145" s="4"/>
      <c r="K145" s="4" t="s">
        <v>631</v>
      </c>
      <c r="L145" s="4"/>
      <c r="M145" s="4"/>
      <c r="N145" s="4"/>
    </row>
    <row r="146" customFormat="false" ht="15" hidden="false" customHeight="false" outlineLevel="0" collapsed="false">
      <c r="A146" s="4" t="s">
        <v>73</v>
      </c>
      <c r="B146" s="4" t="s">
        <v>587</v>
      </c>
      <c r="C146" s="4" t="s">
        <v>912</v>
      </c>
      <c r="D146" s="4"/>
      <c r="E146" s="4" t="s">
        <v>921</v>
      </c>
      <c r="F146" s="4" t="s">
        <v>922</v>
      </c>
      <c r="G146" s="4" t="s">
        <v>641</v>
      </c>
      <c r="H146" s="4" t="s">
        <v>642</v>
      </c>
      <c r="I146" s="4" t="s">
        <v>242</v>
      </c>
      <c r="J146" s="4"/>
      <c r="K146" s="4" t="s">
        <v>631</v>
      </c>
      <c r="L146" s="4"/>
      <c r="M146" s="4"/>
      <c r="N146" s="4"/>
    </row>
    <row r="147" customFormat="false" ht="15" hidden="false" customHeight="false" outlineLevel="0" collapsed="false">
      <c r="A147" s="4" t="s">
        <v>73</v>
      </c>
      <c r="B147" s="4" t="s">
        <v>587</v>
      </c>
      <c r="C147" s="4" t="s">
        <v>912</v>
      </c>
      <c r="D147" s="4"/>
      <c r="E147" s="4" t="s">
        <v>923</v>
      </c>
      <c r="F147" s="4" t="s">
        <v>924</v>
      </c>
      <c r="G147" s="4" t="s">
        <v>662</v>
      </c>
      <c r="H147" s="4" t="s">
        <v>713</v>
      </c>
      <c r="I147" s="4" t="s">
        <v>214</v>
      </c>
      <c r="J147" s="4" t="s">
        <v>238</v>
      </c>
      <c r="K147" s="4" t="s">
        <v>631</v>
      </c>
      <c r="L147" s="4" t="s">
        <v>925</v>
      </c>
      <c r="M147" s="4" t="s">
        <v>188</v>
      </c>
      <c r="N147" s="4"/>
    </row>
    <row r="148" customFormat="false" ht="15" hidden="false" customHeight="false" outlineLevel="0" collapsed="false">
      <c r="A148" s="4" t="s">
        <v>73</v>
      </c>
      <c r="B148" s="4" t="s">
        <v>587</v>
      </c>
      <c r="C148" s="4" t="s">
        <v>926</v>
      </c>
      <c r="D148" s="4"/>
      <c r="E148" s="4" t="s">
        <v>927</v>
      </c>
      <c r="F148" s="4" t="s">
        <v>928</v>
      </c>
      <c r="G148" s="4" t="s">
        <v>662</v>
      </c>
      <c r="H148" s="4" t="s">
        <v>663</v>
      </c>
      <c r="I148" s="4" t="s">
        <v>242</v>
      </c>
      <c r="J148" s="4" t="s">
        <v>184</v>
      </c>
      <c r="K148" s="4" t="s">
        <v>631</v>
      </c>
      <c r="L148" s="4" t="s">
        <v>929</v>
      </c>
      <c r="M148" s="4" t="s">
        <v>188</v>
      </c>
      <c r="N148" s="4"/>
    </row>
    <row r="149" customFormat="false" ht="15" hidden="false" customHeight="false" outlineLevel="0" collapsed="false">
      <c r="A149" s="4" t="s">
        <v>73</v>
      </c>
      <c r="B149" s="4" t="s">
        <v>587</v>
      </c>
      <c r="C149" s="4" t="s">
        <v>926</v>
      </c>
      <c r="D149" s="4"/>
      <c r="E149" s="4" t="s">
        <v>930</v>
      </c>
      <c r="F149" s="4" t="s">
        <v>931</v>
      </c>
      <c r="G149" s="4" t="s">
        <v>662</v>
      </c>
      <c r="H149" s="4" t="s">
        <v>663</v>
      </c>
      <c r="I149" s="4" t="s">
        <v>242</v>
      </c>
      <c r="J149" s="4" t="s">
        <v>226</v>
      </c>
      <c r="K149" s="4" t="s">
        <v>631</v>
      </c>
      <c r="L149" s="4" t="s">
        <v>730</v>
      </c>
      <c r="M149" s="4" t="s">
        <v>188</v>
      </c>
      <c r="N149" s="4"/>
    </row>
    <row r="150" customFormat="false" ht="15" hidden="false" customHeight="false" outlineLevel="0" collapsed="false">
      <c r="A150" s="4" t="s">
        <v>73</v>
      </c>
      <c r="B150" s="4" t="s">
        <v>587</v>
      </c>
      <c r="C150" s="4" t="s">
        <v>926</v>
      </c>
      <c r="D150" s="4"/>
      <c r="E150" s="4" t="s">
        <v>246</v>
      </c>
      <c r="F150" s="4" t="s">
        <v>932</v>
      </c>
      <c r="G150" s="4" t="s">
        <v>662</v>
      </c>
      <c r="H150" s="4" t="s">
        <v>663</v>
      </c>
      <c r="I150" s="4" t="s">
        <v>242</v>
      </c>
      <c r="J150" s="4" t="s">
        <v>248</v>
      </c>
      <c r="K150" s="4" t="s">
        <v>631</v>
      </c>
      <c r="L150" s="4" t="s">
        <v>933</v>
      </c>
      <c r="M150" s="4" t="s">
        <v>188</v>
      </c>
      <c r="N150" s="4"/>
    </row>
    <row r="151" customFormat="false" ht="15" hidden="false" customHeight="false" outlineLevel="0" collapsed="false">
      <c r="A151" s="4" t="s">
        <v>73</v>
      </c>
      <c r="B151" s="4" t="s">
        <v>587</v>
      </c>
      <c r="C151" s="4" t="s">
        <v>926</v>
      </c>
      <c r="D151" s="4"/>
      <c r="E151" s="4" t="s">
        <v>934</v>
      </c>
      <c r="F151" s="4" t="s">
        <v>935</v>
      </c>
      <c r="G151" s="4" t="s">
        <v>662</v>
      </c>
      <c r="H151" s="4" t="s">
        <v>713</v>
      </c>
      <c r="I151" s="4" t="s">
        <v>242</v>
      </c>
      <c r="J151" s="4" t="s">
        <v>774</v>
      </c>
      <c r="K151" s="4" t="s">
        <v>631</v>
      </c>
      <c r="L151" s="4"/>
      <c r="M151" s="4"/>
      <c r="N151" s="4" t="s">
        <v>936</v>
      </c>
    </row>
    <row r="152" customFormat="false" ht="15" hidden="false" customHeight="false" outlineLevel="0" collapsed="false">
      <c r="A152" s="4" t="s">
        <v>73</v>
      </c>
      <c r="B152" s="4" t="s">
        <v>587</v>
      </c>
      <c r="C152" s="4" t="s">
        <v>926</v>
      </c>
      <c r="D152" s="4"/>
      <c r="E152" s="4" t="s">
        <v>937</v>
      </c>
      <c r="F152" s="4" t="s">
        <v>938</v>
      </c>
      <c r="G152" s="4" t="s">
        <v>909</v>
      </c>
      <c r="H152" s="4" t="s">
        <v>648</v>
      </c>
      <c r="I152" s="4" t="s">
        <v>227</v>
      </c>
      <c r="J152" s="4"/>
      <c r="K152" s="4" t="s">
        <v>631</v>
      </c>
      <c r="L152" s="4"/>
      <c r="M152" s="4"/>
      <c r="N152" s="4"/>
    </row>
    <row r="153" customFormat="false" ht="15" hidden="false" customHeight="false" outlineLevel="0" collapsed="false">
      <c r="A153" s="4" t="s">
        <v>73</v>
      </c>
      <c r="B153" s="4" t="s">
        <v>587</v>
      </c>
      <c r="C153" s="4" t="s">
        <v>926</v>
      </c>
      <c r="D153" s="4"/>
      <c r="E153" s="4" t="s">
        <v>939</v>
      </c>
      <c r="F153" s="4" t="s">
        <v>940</v>
      </c>
      <c r="G153" s="4" t="s">
        <v>662</v>
      </c>
      <c r="H153" s="4" t="s">
        <v>638</v>
      </c>
      <c r="I153" s="4" t="s">
        <v>214</v>
      </c>
      <c r="J153" s="4" t="s">
        <v>875</v>
      </c>
      <c r="K153" s="4"/>
      <c r="L153" s="4"/>
      <c r="M153" s="4"/>
      <c r="N153" s="4" t="s">
        <v>941</v>
      </c>
    </row>
    <row r="154" customFormat="false" ht="23.85" hidden="false" customHeight="false" outlineLevel="0" collapsed="false">
      <c r="A154" s="4" t="s">
        <v>73</v>
      </c>
      <c r="B154" s="4" t="s">
        <v>587</v>
      </c>
      <c r="C154" s="4" t="s">
        <v>898</v>
      </c>
      <c r="D154" s="4"/>
      <c r="E154" s="4" t="s">
        <v>942</v>
      </c>
      <c r="F154" s="4" t="s">
        <v>943</v>
      </c>
      <c r="G154" s="4" t="s">
        <v>944</v>
      </c>
      <c r="H154" s="4" t="s">
        <v>648</v>
      </c>
      <c r="I154" s="4" t="s">
        <v>227</v>
      </c>
      <c r="J154" s="4"/>
      <c r="K154" s="4" t="s">
        <v>631</v>
      </c>
      <c r="L154" s="4"/>
      <c r="M154" s="4"/>
      <c r="N154" s="4"/>
    </row>
    <row r="155" customFormat="false" ht="23.85" hidden="false" customHeight="false" outlineLevel="0" collapsed="false">
      <c r="A155" s="4" t="s">
        <v>73</v>
      </c>
      <c r="B155" s="4" t="s">
        <v>587</v>
      </c>
      <c r="C155" s="4" t="s">
        <v>898</v>
      </c>
      <c r="D155" s="4"/>
      <c r="E155" s="4" t="s">
        <v>945</v>
      </c>
      <c r="F155" s="4" t="s">
        <v>946</v>
      </c>
      <c r="G155" s="4" t="s">
        <v>675</v>
      </c>
      <c r="H155" s="4" t="s">
        <v>648</v>
      </c>
      <c r="I155" s="4" t="s">
        <v>227</v>
      </c>
      <c r="J155" s="4"/>
      <c r="K155" s="4"/>
      <c r="L155" s="4"/>
      <c r="M155" s="4"/>
      <c r="N155" s="4" t="s">
        <v>947</v>
      </c>
    </row>
    <row r="156" customFormat="false" ht="15" hidden="false" customHeight="false" outlineLevel="0" collapsed="false">
      <c r="A156" s="4" t="s">
        <v>73</v>
      </c>
      <c r="B156" s="4" t="s">
        <v>587</v>
      </c>
      <c r="C156" s="4" t="s">
        <v>898</v>
      </c>
      <c r="D156" s="4"/>
      <c r="E156" s="4" t="s">
        <v>839</v>
      </c>
      <c r="F156" s="4" t="s">
        <v>840</v>
      </c>
      <c r="G156" s="4" t="s">
        <v>655</v>
      </c>
      <c r="H156" s="4" t="s">
        <v>648</v>
      </c>
      <c r="I156" s="4" t="s">
        <v>227</v>
      </c>
      <c r="J156" s="4"/>
      <c r="K156" s="4"/>
      <c r="L156" s="4"/>
      <c r="M156" s="4"/>
      <c r="N156" s="4"/>
    </row>
    <row r="157" customFormat="false" ht="15" hidden="false" customHeight="false" outlineLevel="0" collapsed="false">
      <c r="A157" s="4" t="s">
        <v>73</v>
      </c>
      <c r="B157" s="4" t="s">
        <v>587</v>
      </c>
      <c r="C157" s="4" t="s">
        <v>898</v>
      </c>
      <c r="D157" s="4"/>
      <c r="E157" s="4" t="s">
        <v>699</v>
      </c>
      <c r="F157" s="4" t="s">
        <v>700</v>
      </c>
      <c r="G157" s="4" t="s">
        <v>647</v>
      </c>
      <c r="H157" s="4" t="s">
        <v>648</v>
      </c>
      <c r="I157" s="4" t="s">
        <v>227</v>
      </c>
      <c r="J157" s="4"/>
      <c r="K157" s="4" t="s">
        <v>631</v>
      </c>
      <c r="L157" s="4"/>
      <c r="M157" s="4"/>
      <c r="N157" s="4"/>
    </row>
    <row r="158" customFormat="false" ht="15" hidden="false" customHeight="false" outlineLevel="0" collapsed="false">
      <c r="A158" s="4" t="s">
        <v>87</v>
      </c>
      <c r="B158" s="4" t="s">
        <v>592</v>
      </c>
      <c r="C158" s="4" t="s">
        <v>948</v>
      </c>
      <c r="D158" s="4"/>
      <c r="E158" s="4" t="s">
        <v>658</v>
      </c>
      <c r="F158" s="4" t="s">
        <v>659</v>
      </c>
      <c r="G158" s="4" t="s">
        <v>641</v>
      </c>
      <c r="H158" s="4" t="s">
        <v>638</v>
      </c>
      <c r="I158" s="4" t="s">
        <v>214</v>
      </c>
      <c r="J158" s="4"/>
      <c r="K158" s="4" t="s">
        <v>631</v>
      </c>
      <c r="L158" s="4"/>
      <c r="M158" s="4"/>
      <c r="N158" s="4"/>
    </row>
    <row r="159" customFormat="false" ht="15" hidden="false" customHeight="false" outlineLevel="0" collapsed="false">
      <c r="A159" s="4" t="s">
        <v>87</v>
      </c>
      <c r="B159" s="4" t="s">
        <v>592</v>
      </c>
      <c r="C159" s="4" t="s">
        <v>948</v>
      </c>
      <c r="D159" s="4"/>
      <c r="E159" s="4" t="s">
        <v>949</v>
      </c>
      <c r="F159" s="4" t="s">
        <v>950</v>
      </c>
      <c r="G159" s="4" t="s">
        <v>628</v>
      </c>
      <c r="H159" s="4" t="s">
        <v>629</v>
      </c>
      <c r="I159" s="4" t="s">
        <v>630</v>
      </c>
      <c r="J159" s="4"/>
      <c r="K159" s="4" t="s">
        <v>631</v>
      </c>
      <c r="L159" s="4"/>
      <c r="M159" s="4"/>
      <c r="N159" s="4"/>
    </row>
    <row r="160" customFormat="false" ht="15" hidden="false" customHeight="false" outlineLevel="0" collapsed="false">
      <c r="A160" s="4" t="s">
        <v>87</v>
      </c>
      <c r="B160" s="4" t="s">
        <v>592</v>
      </c>
      <c r="C160" s="4" t="s">
        <v>948</v>
      </c>
      <c r="D160" s="4"/>
      <c r="E160" s="4" t="s">
        <v>249</v>
      </c>
      <c r="F160" s="4" t="s">
        <v>250</v>
      </c>
      <c r="G160" s="4" t="s">
        <v>662</v>
      </c>
      <c r="H160" s="4" t="s">
        <v>663</v>
      </c>
      <c r="I160" s="4" t="s">
        <v>185</v>
      </c>
      <c r="J160" s="4" t="s">
        <v>248</v>
      </c>
      <c r="K160" s="4" t="s">
        <v>631</v>
      </c>
      <c r="L160" s="4" t="s">
        <v>951</v>
      </c>
      <c r="M160" s="4" t="s">
        <v>188</v>
      </c>
      <c r="N160" s="4"/>
    </row>
    <row r="161" customFormat="false" ht="15" hidden="false" customHeight="false" outlineLevel="0" collapsed="false">
      <c r="A161" s="4" t="s">
        <v>87</v>
      </c>
      <c r="B161" s="4" t="s">
        <v>592</v>
      </c>
      <c r="C161" s="4" t="s">
        <v>948</v>
      </c>
      <c r="D161" s="4"/>
      <c r="E161" s="4" t="s">
        <v>252</v>
      </c>
      <c r="F161" s="4" t="s">
        <v>253</v>
      </c>
      <c r="G161" s="4" t="s">
        <v>662</v>
      </c>
      <c r="H161" s="4" t="s">
        <v>663</v>
      </c>
      <c r="I161" s="4" t="s">
        <v>185</v>
      </c>
      <c r="J161" s="4" t="s">
        <v>248</v>
      </c>
      <c r="K161" s="4" t="s">
        <v>631</v>
      </c>
      <c r="L161" s="4" t="s">
        <v>952</v>
      </c>
      <c r="M161" s="4" t="s">
        <v>188</v>
      </c>
      <c r="N161" s="4"/>
    </row>
    <row r="162" customFormat="false" ht="15" hidden="false" customHeight="false" outlineLevel="0" collapsed="false">
      <c r="A162" s="4" t="s">
        <v>87</v>
      </c>
      <c r="B162" s="4" t="s">
        <v>592</v>
      </c>
      <c r="C162" s="4" t="s">
        <v>948</v>
      </c>
      <c r="D162" s="4"/>
      <c r="E162" s="4" t="s">
        <v>953</v>
      </c>
      <c r="F162" s="4" t="s">
        <v>954</v>
      </c>
      <c r="G162" s="4" t="s">
        <v>662</v>
      </c>
      <c r="H162" s="4" t="s">
        <v>713</v>
      </c>
      <c r="I162" s="4" t="s">
        <v>214</v>
      </c>
      <c r="J162" s="4"/>
      <c r="K162" s="4" t="s">
        <v>631</v>
      </c>
      <c r="L162" s="4" t="s">
        <v>955</v>
      </c>
      <c r="M162" s="4" t="s">
        <v>188</v>
      </c>
      <c r="N162" s="4" t="s">
        <v>956</v>
      </c>
    </row>
    <row r="163" customFormat="false" ht="15" hidden="false" customHeight="false" outlineLevel="0" collapsed="false">
      <c r="A163" s="4" t="s">
        <v>87</v>
      </c>
      <c r="B163" s="4" t="s">
        <v>592</v>
      </c>
      <c r="C163" s="4" t="s">
        <v>948</v>
      </c>
      <c r="D163" s="4"/>
      <c r="E163" s="4" t="s">
        <v>254</v>
      </c>
      <c r="F163" s="4" t="s">
        <v>255</v>
      </c>
      <c r="G163" s="4" t="s">
        <v>662</v>
      </c>
      <c r="H163" s="4" t="s">
        <v>663</v>
      </c>
      <c r="I163" s="4" t="s">
        <v>185</v>
      </c>
      <c r="J163" s="4" t="s">
        <v>226</v>
      </c>
      <c r="K163" s="4" t="s">
        <v>631</v>
      </c>
      <c r="L163" s="4" t="s">
        <v>957</v>
      </c>
      <c r="M163" s="4" t="s">
        <v>188</v>
      </c>
      <c r="N163" s="4"/>
    </row>
    <row r="164" customFormat="false" ht="15" hidden="false" customHeight="false" outlineLevel="0" collapsed="false">
      <c r="A164" s="4" t="s">
        <v>87</v>
      </c>
      <c r="B164" s="4" t="s">
        <v>592</v>
      </c>
      <c r="C164" s="4" t="s">
        <v>948</v>
      </c>
      <c r="D164" s="4"/>
      <c r="E164" s="4" t="s">
        <v>958</v>
      </c>
      <c r="F164" s="4" t="s">
        <v>959</v>
      </c>
      <c r="G164" s="4" t="s">
        <v>675</v>
      </c>
      <c r="H164" s="4" t="s">
        <v>648</v>
      </c>
      <c r="I164" s="4" t="s">
        <v>227</v>
      </c>
      <c r="J164" s="4"/>
      <c r="K164" s="4" t="s">
        <v>631</v>
      </c>
      <c r="L164" s="4"/>
      <c r="M164" s="4"/>
      <c r="N164" s="4" t="s">
        <v>960</v>
      </c>
    </row>
    <row r="165" customFormat="false" ht="15" hidden="false" customHeight="false" outlineLevel="0" collapsed="false">
      <c r="A165" s="4" t="s">
        <v>87</v>
      </c>
      <c r="B165" s="4" t="s">
        <v>592</v>
      </c>
      <c r="C165" s="4" t="s">
        <v>948</v>
      </c>
      <c r="D165" s="4"/>
      <c r="E165" s="4" t="s">
        <v>961</v>
      </c>
      <c r="F165" s="4" t="s">
        <v>962</v>
      </c>
      <c r="G165" s="4" t="s">
        <v>944</v>
      </c>
      <c r="H165" s="4" t="s">
        <v>648</v>
      </c>
      <c r="I165" s="4" t="s">
        <v>227</v>
      </c>
      <c r="J165" s="4"/>
      <c r="K165" s="4" t="s">
        <v>631</v>
      </c>
      <c r="L165" s="4"/>
      <c r="M165" s="4"/>
      <c r="N165" s="4"/>
    </row>
    <row r="166" customFormat="false" ht="15" hidden="false" customHeight="false" outlineLevel="0" collapsed="false">
      <c r="A166" s="4" t="s">
        <v>87</v>
      </c>
      <c r="B166" s="4" t="s">
        <v>592</v>
      </c>
      <c r="C166" s="4" t="s">
        <v>948</v>
      </c>
      <c r="D166" s="4"/>
      <c r="E166" s="4" t="s">
        <v>963</v>
      </c>
      <c r="F166" s="4" t="s">
        <v>964</v>
      </c>
      <c r="G166" s="4" t="s">
        <v>662</v>
      </c>
      <c r="H166" s="4" t="s">
        <v>713</v>
      </c>
      <c r="I166" s="4" t="s">
        <v>185</v>
      </c>
      <c r="J166" s="4" t="s">
        <v>774</v>
      </c>
      <c r="K166" s="4" t="s">
        <v>631</v>
      </c>
      <c r="L166" s="4"/>
      <c r="M166" s="4"/>
      <c r="N166" s="4" t="s">
        <v>965</v>
      </c>
    </row>
    <row r="167" customFormat="false" ht="15" hidden="false" customHeight="false" outlineLevel="0" collapsed="false">
      <c r="A167" s="4" t="s">
        <v>87</v>
      </c>
      <c r="B167" s="4" t="s">
        <v>592</v>
      </c>
      <c r="C167" s="4" t="s">
        <v>966</v>
      </c>
      <c r="D167" s="4"/>
      <c r="E167" s="4" t="s">
        <v>256</v>
      </c>
      <c r="F167" s="4" t="s">
        <v>257</v>
      </c>
      <c r="G167" s="4" t="s">
        <v>662</v>
      </c>
      <c r="H167" s="4" t="s">
        <v>663</v>
      </c>
      <c r="I167" s="4" t="s">
        <v>185</v>
      </c>
      <c r="J167" s="4" t="s">
        <v>184</v>
      </c>
      <c r="K167" s="4" t="s">
        <v>631</v>
      </c>
      <c r="L167" s="4" t="s">
        <v>967</v>
      </c>
      <c r="M167" s="4" t="s">
        <v>188</v>
      </c>
      <c r="N167" s="4" t="s">
        <v>968</v>
      </c>
    </row>
    <row r="168" customFormat="false" ht="15" hidden="false" customHeight="false" outlineLevel="0" collapsed="false">
      <c r="A168" s="4" t="s">
        <v>87</v>
      </c>
      <c r="B168" s="4" t="s">
        <v>592</v>
      </c>
      <c r="C168" s="4" t="s">
        <v>966</v>
      </c>
      <c r="D168" s="4"/>
      <c r="E168" s="4" t="s">
        <v>258</v>
      </c>
      <c r="F168" s="4" t="s">
        <v>969</v>
      </c>
      <c r="G168" s="4" t="s">
        <v>662</v>
      </c>
      <c r="H168" s="4" t="s">
        <v>663</v>
      </c>
      <c r="I168" s="4" t="s">
        <v>185</v>
      </c>
      <c r="J168" s="4" t="s">
        <v>184</v>
      </c>
      <c r="K168" s="4" t="s">
        <v>631</v>
      </c>
      <c r="L168" s="4" t="s">
        <v>970</v>
      </c>
      <c r="M168" s="4" t="s">
        <v>188</v>
      </c>
      <c r="N168" s="4" t="s">
        <v>968</v>
      </c>
    </row>
    <row r="169" customFormat="false" ht="15" hidden="false" customHeight="false" outlineLevel="0" collapsed="false">
      <c r="A169" s="4" t="s">
        <v>87</v>
      </c>
      <c r="B169" s="4" t="s">
        <v>592</v>
      </c>
      <c r="C169" s="4" t="s">
        <v>966</v>
      </c>
      <c r="D169" s="4"/>
      <c r="E169" s="4" t="s">
        <v>971</v>
      </c>
      <c r="F169" s="4" t="s">
        <v>972</v>
      </c>
      <c r="G169" s="4" t="s">
        <v>662</v>
      </c>
      <c r="H169" s="4" t="s">
        <v>713</v>
      </c>
      <c r="I169" s="4" t="s">
        <v>185</v>
      </c>
      <c r="J169" s="4" t="s">
        <v>774</v>
      </c>
      <c r="K169" s="4" t="s">
        <v>631</v>
      </c>
      <c r="L169" s="4"/>
      <c r="M169" s="4"/>
      <c r="N169" s="4"/>
    </row>
    <row r="170" customFormat="false" ht="15" hidden="false" customHeight="false" outlineLevel="0" collapsed="false">
      <c r="A170" s="4" t="s">
        <v>87</v>
      </c>
      <c r="B170" s="4" t="s">
        <v>592</v>
      </c>
      <c r="C170" s="4" t="s">
        <v>966</v>
      </c>
      <c r="D170" s="4"/>
      <c r="E170" s="4" t="s">
        <v>973</v>
      </c>
      <c r="F170" s="4" t="s">
        <v>974</v>
      </c>
      <c r="G170" s="4" t="s">
        <v>662</v>
      </c>
      <c r="H170" s="4" t="s">
        <v>648</v>
      </c>
      <c r="I170" s="4" t="s">
        <v>227</v>
      </c>
      <c r="J170" s="4" t="s">
        <v>241</v>
      </c>
      <c r="K170" s="4" t="s">
        <v>631</v>
      </c>
      <c r="L170" s="4"/>
      <c r="M170" s="4"/>
      <c r="N170" s="4"/>
    </row>
    <row r="171" customFormat="false" ht="15" hidden="false" customHeight="false" outlineLevel="0" collapsed="false">
      <c r="A171" s="4" t="s">
        <v>87</v>
      </c>
      <c r="B171" s="4" t="s">
        <v>592</v>
      </c>
      <c r="C171" s="4" t="s">
        <v>966</v>
      </c>
      <c r="D171" s="4"/>
      <c r="E171" s="4" t="s">
        <v>975</v>
      </c>
      <c r="F171" s="4" t="s">
        <v>976</v>
      </c>
      <c r="G171" s="4" t="s">
        <v>662</v>
      </c>
      <c r="H171" s="4" t="s">
        <v>648</v>
      </c>
      <c r="I171" s="4" t="s">
        <v>227</v>
      </c>
      <c r="J171" s="4" t="s">
        <v>241</v>
      </c>
      <c r="K171" s="4" t="s">
        <v>631</v>
      </c>
      <c r="L171" s="4"/>
      <c r="M171" s="4"/>
      <c r="N171" s="4"/>
    </row>
    <row r="172" customFormat="false" ht="15" hidden="false" customHeight="false" outlineLevel="0" collapsed="false">
      <c r="A172" s="4" t="s">
        <v>87</v>
      </c>
      <c r="B172" s="4" t="s">
        <v>592</v>
      </c>
      <c r="C172" s="4" t="s">
        <v>966</v>
      </c>
      <c r="D172" s="4"/>
      <c r="E172" s="4" t="s">
        <v>977</v>
      </c>
      <c r="F172" s="4" t="s">
        <v>978</v>
      </c>
      <c r="G172" s="4" t="s">
        <v>662</v>
      </c>
      <c r="H172" s="4" t="s">
        <v>648</v>
      </c>
      <c r="I172" s="4" t="s">
        <v>227</v>
      </c>
      <c r="J172" s="4" t="s">
        <v>241</v>
      </c>
      <c r="K172" s="4" t="s">
        <v>631</v>
      </c>
      <c r="L172" s="4" t="s">
        <v>979</v>
      </c>
      <c r="M172" s="4" t="s">
        <v>188</v>
      </c>
      <c r="N172" s="4"/>
    </row>
    <row r="173" customFormat="false" ht="15" hidden="false" customHeight="false" outlineLevel="0" collapsed="false">
      <c r="A173" s="4" t="s">
        <v>87</v>
      </c>
      <c r="B173" s="4" t="s">
        <v>592</v>
      </c>
      <c r="C173" s="4" t="s">
        <v>966</v>
      </c>
      <c r="D173" s="4"/>
      <c r="E173" s="4" t="s">
        <v>699</v>
      </c>
      <c r="F173" s="4" t="s">
        <v>700</v>
      </c>
      <c r="G173" s="4" t="s">
        <v>647</v>
      </c>
      <c r="H173" s="4" t="s">
        <v>648</v>
      </c>
      <c r="I173" s="4" t="s">
        <v>227</v>
      </c>
      <c r="J173" s="4"/>
      <c r="K173" s="4" t="s">
        <v>631</v>
      </c>
      <c r="L173" s="4"/>
      <c r="M173" s="4"/>
      <c r="N173" s="4"/>
    </row>
    <row r="174" customFormat="false" ht="15" hidden="false" customHeight="false" outlineLevel="0" collapsed="false">
      <c r="A174" s="4" t="s">
        <v>101</v>
      </c>
      <c r="B174" s="4" t="s">
        <v>594</v>
      </c>
      <c r="C174" s="4" t="s">
        <v>980</v>
      </c>
      <c r="D174" s="4"/>
      <c r="E174" s="4" t="s">
        <v>626</v>
      </c>
      <c r="F174" s="4" t="s">
        <v>95</v>
      </c>
      <c r="G174" s="4" t="s">
        <v>628</v>
      </c>
      <c r="H174" s="4" t="s">
        <v>629</v>
      </c>
      <c r="I174" s="4" t="s">
        <v>630</v>
      </c>
      <c r="J174" s="4"/>
      <c r="K174" s="4" t="s">
        <v>631</v>
      </c>
      <c r="L174" s="4"/>
      <c r="M174" s="4"/>
      <c r="N174" s="4" t="s">
        <v>981</v>
      </c>
    </row>
    <row r="175" customFormat="false" ht="15" hidden="false" customHeight="false" outlineLevel="0" collapsed="false">
      <c r="A175" s="4" t="s">
        <v>101</v>
      </c>
      <c r="B175" s="4" t="s">
        <v>594</v>
      </c>
      <c r="C175" s="4" t="s">
        <v>980</v>
      </c>
      <c r="D175" s="4"/>
      <c r="E175" s="4" t="s">
        <v>982</v>
      </c>
      <c r="F175" s="4" t="s">
        <v>983</v>
      </c>
      <c r="G175" s="4" t="s">
        <v>675</v>
      </c>
      <c r="H175" s="4" t="s">
        <v>638</v>
      </c>
      <c r="I175" s="4" t="s">
        <v>214</v>
      </c>
      <c r="J175" s="4"/>
      <c r="K175" s="4" t="s">
        <v>631</v>
      </c>
      <c r="L175" s="4"/>
      <c r="M175" s="4"/>
      <c r="N175" s="4" t="s">
        <v>984</v>
      </c>
    </row>
    <row r="176" customFormat="false" ht="15" hidden="false" customHeight="false" outlineLevel="0" collapsed="false">
      <c r="A176" s="4" t="s">
        <v>101</v>
      </c>
      <c r="B176" s="4" t="s">
        <v>594</v>
      </c>
      <c r="C176" s="4" t="s">
        <v>980</v>
      </c>
      <c r="D176" s="4"/>
      <c r="E176" s="4" t="s">
        <v>985</v>
      </c>
      <c r="F176" s="4" t="s">
        <v>986</v>
      </c>
      <c r="G176" s="4" t="s">
        <v>635</v>
      </c>
      <c r="H176" s="4" t="s">
        <v>629</v>
      </c>
      <c r="I176" s="4" t="s">
        <v>630</v>
      </c>
      <c r="J176" s="4"/>
      <c r="K176" s="4" t="s">
        <v>631</v>
      </c>
      <c r="L176" s="4"/>
      <c r="M176" s="4"/>
      <c r="N176" s="4"/>
    </row>
    <row r="177" customFormat="false" ht="15" hidden="false" customHeight="false" outlineLevel="0" collapsed="false">
      <c r="A177" s="4" t="s">
        <v>101</v>
      </c>
      <c r="B177" s="4" t="s">
        <v>594</v>
      </c>
      <c r="C177" s="4" t="s">
        <v>980</v>
      </c>
      <c r="D177" s="4"/>
      <c r="E177" s="4" t="s">
        <v>910</v>
      </c>
      <c r="F177" s="4" t="s">
        <v>987</v>
      </c>
      <c r="G177" s="4" t="s">
        <v>662</v>
      </c>
      <c r="H177" s="4" t="s">
        <v>713</v>
      </c>
      <c r="I177" s="4" t="s">
        <v>214</v>
      </c>
      <c r="J177" s="4" t="s">
        <v>706</v>
      </c>
      <c r="K177" s="4" t="s">
        <v>631</v>
      </c>
      <c r="L177" s="4"/>
      <c r="M177" s="4"/>
      <c r="N177" s="4"/>
    </row>
    <row r="178" customFormat="false" ht="15" hidden="false" customHeight="false" outlineLevel="0" collapsed="false">
      <c r="A178" s="4" t="s">
        <v>101</v>
      </c>
      <c r="B178" s="4" t="s">
        <v>594</v>
      </c>
      <c r="C178" s="4" t="s">
        <v>980</v>
      </c>
      <c r="D178" s="4"/>
      <c r="E178" s="4" t="s">
        <v>988</v>
      </c>
      <c r="F178" s="4" t="s">
        <v>989</v>
      </c>
      <c r="G178" s="4" t="s">
        <v>641</v>
      </c>
      <c r="H178" s="4" t="s">
        <v>642</v>
      </c>
      <c r="I178" s="4" t="s">
        <v>185</v>
      </c>
      <c r="J178" s="4"/>
      <c r="K178" s="4" t="s">
        <v>631</v>
      </c>
      <c r="L178" s="4"/>
      <c r="M178" s="4"/>
      <c r="N178" s="4"/>
    </row>
    <row r="179" customFormat="false" ht="15" hidden="false" customHeight="false" outlineLevel="0" collapsed="false">
      <c r="A179" s="4" t="s">
        <v>101</v>
      </c>
      <c r="B179" s="4" t="s">
        <v>594</v>
      </c>
      <c r="C179" s="4" t="s">
        <v>980</v>
      </c>
      <c r="D179" s="4"/>
      <c r="E179" s="4" t="s">
        <v>990</v>
      </c>
      <c r="F179" s="4" t="s">
        <v>991</v>
      </c>
      <c r="G179" s="4" t="s">
        <v>641</v>
      </c>
      <c r="H179" s="4" t="s">
        <v>642</v>
      </c>
      <c r="I179" s="4" t="s">
        <v>185</v>
      </c>
      <c r="J179" s="4"/>
      <c r="K179" s="4" t="s">
        <v>631</v>
      </c>
      <c r="L179" s="4"/>
      <c r="M179" s="4"/>
      <c r="N179" s="4" t="s">
        <v>992</v>
      </c>
    </row>
    <row r="180" customFormat="false" ht="23.85" hidden="false" customHeight="false" outlineLevel="0" collapsed="false">
      <c r="A180" s="4" t="s">
        <v>101</v>
      </c>
      <c r="B180" s="4" t="s">
        <v>594</v>
      </c>
      <c r="C180" s="4" t="s">
        <v>980</v>
      </c>
      <c r="D180" s="4"/>
      <c r="E180" s="4" t="s">
        <v>993</v>
      </c>
      <c r="F180" s="4" t="s">
        <v>994</v>
      </c>
      <c r="G180" s="4" t="s">
        <v>662</v>
      </c>
      <c r="H180" s="4" t="s">
        <v>713</v>
      </c>
      <c r="I180" s="4" t="s">
        <v>214</v>
      </c>
      <c r="J180" s="4" t="s">
        <v>774</v>
      </c>
      <c r="K180" s="4" t="s">
        <v>631</v>
      </c>
      <c r="L180" s="4"/>
      <c r="M180" s="4"/>
      <c r="N180" s="4"/>
    </row>
    <row r="181" customFormat="false" ht="15" hidden="false" customHeight="false" outlineLevel="0" collapsed="false">
      <c r="A181" s="4" t="s">
        <v>101</v>
      </c>
      <c r="B181" s="4" t="s">
        <v>594</v>
      </c>
      <c r="C181" s="4" t="s">
        <v>980</v>
      </c>
      <c r="D181" s="4"/>
      <c r="E181" s="4" t="s">
        <v>995</v>
      </c>
      <c r="F181" s="4" t="s">
        <v>996</v>
      </c>
      <c r="G181" s="4" t="s">
        <v>662</v>
      </c>
      <c r="H181" s="4" t="s">
        <v>713</v>
      </c>
      <c r="I181" s="4" t="s">
        <v>185</v>
      </c>
      <c r="J181" s="4" t="s">
        <v>774</v>
      </c>
      <c r="K181" s="4" t="s">
        <v>631</v>
      </c>
      <c r="L181" s="4"/>
      <c r="M181" s="4"/>
      <c r="N181" s="4" t="s">
        <v>997</v>
      </c>
    </row>
    <row r="182" customFormat="false" ht="15" hidden="false" customHeight="false" outlineLevel="0" collapsed="false">
      <c r="A182" s="4" t="s">
        <v>101</v>
      </c>
      <c r="B182" s="4" t="s">
        <v>594</v>
      </c>
      <c r="C182" s="4" t="s">
        <v>980</v>
      </c>
      <c r="D182" s="4"/>
      <c r="E182" s="4" t="s">
        <v>233</v>
      </c>
      <c r="F182" s="4" t="s">
        <v>998</v>
      </c>
      <c r="G182" s="4" t="s">
        <v>662</v>
      </c>
      <c r="H182" s="4" t="s">
        <v>663</v>
      </c>
      <c r="I182" s="4" t="s">
        <v>185</v>
      </c>
      <c r="J182" s="4" t="s">
        <v>226</v>
      </c>
      <c r="K182" s="4" t="s">
        <v>631</v>
      </c>
      <c r="L182" s="4" t="s">
        <v>999</v>
      </c>
      <c r="M182" s="4" t="s">
        <v>188</v>
      </c>
      <c r="N182" s="4"/>
    </row>
    <row r="183" customFormat="false" ht="15" hidden="false" customHeight="false" outlineLevel="0" collapsed="false">
      <c r="A183" s="4" t="s">
        <v>101</v>
      </c>
      <c r="B183" s="4" t="s">
        <v>594</v>
      </c>
      <c r="C183" s="4" t="s">
        <v>980</v>
      </c>
      <c r="D183" s="4"/>
      <c r="E183" s="4" t="s">
        <v>1000</v>
      </c>
      <c r="F183" s="4" t="s">
        <v>1001</v>
      </c>
      <c r="G183" s="4" t="s">
        <v>662</v>
      </c>
      <c r="H183" s="4" t="s">
        <v>663</v>
      </c>
      <c r="I183" s="4" t="s">
        <v>185</v>
      </c>
      <c r="J183" s="4" t="s">
        <v>184</v>
      </c>
      <c r="K183" s="4" t="s">
        <v>631</v>
      </c>
      <c r="L183" s="4" t="s">
        <v>1002</v>
      </c>
      <c r="M183" s="4" t="s">
        <v>188</v>
      </c>
      <c r="N183" s="4"/>
    </row>
    <row r="184" customFormat="false" ht="15" hidden="false" customHeight="false" outlineLevel="0" collapsed="false">
      <c r="A184" s="4" t="s">
        <v>101</v>
      </c>
      <c r="B184" s="4" t="s">
        <v>594</v>
      </c>
      <c r="C184" s="4" t="s">
        <v>980</v>
      </c>
      <c r="D184" s="4"/>
      <c r="E184" s="4" t="s">
        <v>794</v>
      </c>
      <c r="F184" s="4" t="s">
        <v>795</v>
      </c>
      <c r="G184" s="4" t="s">
        <v>641</v>
      </c>
      <c r="H184" s="4" t="s">
        <v>642</v>
      </c>
      <c r="I184" s="4" t="s">
        <v>214</v>
      </c>
      <c r="J184" s="4"/>
      <c r="K184" s="4" t="s">
        <v>631</v>
      </c>
      <c r="L184" s="4"/>
      <c r="M184" s="4"/>
      <c r="N184" s="4"/>
    </row>
    <row r="185" customFormat="false" ht="15" hidden="false" customHeight="false" outlineLevel="0" collapsed="false">
      <c r="A185" s="4" t="s">
        <v>101</v>
      </c>
      <c r="B185" s="4" t="s">
        <v>594</v>
      </c>
      <c r="C185" s="4" t="s">
        <v>980</v>
      </c>
      <c r="D185" s="4"/>
      <c r="E185" s="4" t="s">
        <v>796</v>
      </c>
      <c r="F185" s="4" t="s">
        <v>797</v>
      </c>
      <c r="G185" s="4" t="s">
        <v>641</v>
      </c>
      <c r="H185" s="4" t="s">
        <v>642</v>
      </c>
      <c r="I185" s="4" t="s">
        <v>214</v>
      </c>
      <c r="J185" s="4"/>
      <c r="K185" s="4" t="s">
        <v>631</v>
      </c>
      <c r="L185" s="4"/>
      <c r="M185" s="4"/>
      <c r="N185" s="4"/>
    </row>
    <row r="186" customFormat="false" ht="15" hidden="false" customHeight="false" outlineLevel="0" collapsed="false">
      <c r="A186" s="4" t="s">
        <v>101</v>
      </c>
      <c r="B186" s="4" t="s">
        <v>594</v>
      </c>
      <c r="C186" s="4" t="s">
        <v>980</v>
      </c>
      <c r="D186" s="4"/>
      <c r="E186" s="4" t="s">
        <v>236</v>
      </c>
      <c r="F186" s="4" t="s">
        <v>1003</v>
      </c>
      <c r="G186" s="4" t="s">
        <v>662</v>
      </c>
      <c r="H186" s="4" t="s">
        <v>713</v>
      </c>
      <c r="I186" s="4" t="s">
        <v>214</v>
      </c>
      <c r="J186" s="4" t="s">
        <v>238</v>
      </c>
      <c r="K186" s="4" t="s">
        <v>631</v>
      </c>
      <c r="L186" s="4" t="s">
        <v>1004</v>
      </c>
      <c r="M186" s="4" t="s">
        <v>188</v>
      </c>
      <c r="N186" s="4"/>
    </row>
    <row r="187" customFormat="false" ht="23.85" hidden="false" customHeight="false" outlineLevel="0" collapsed="false">
      <c r="A187" s="4" t="s">
        <v>101</v>
      </c>
      <c r="B187" s="4" t="s">
        <v>594</v>
      </c>
      <c r="C187" s="4" t="s">
        <v>980</v>
      </c>
      <c r="D187" s="4"/>
      <c r="E187" s="4" t="s">
        <v>1005</v>
      </c>
      <c r="F187" s="4" t="s">
        <v>1006</v>
      </c>
      <c r="G187" s="4" t="s">
        <v>675</v>
      </c>
      <c r="H187" s="4" t="s">
        <v>648</v>
      </c>
      <c r="I187" s="4" t="s">
        <v>227</v>
      </c>
      <c r="J187" s="4"/>
      <c r="K187" s="4" t="s">
        <v>631</v>
      </c>
      <c r="L187" s="4"/>
      <c r="M187" s="4"/>
      <c r="N187" s="4" t="s">
        <v>1007</v>
      </c>
    </row>
    <row r="188" customFormat="false" ht="15" hidden="false" customHeight="false" outlineLevel="0" collapsed="false">
      <c r="A188" s="4" t="s">
        <v>101</v>
      </c>
      <c r="B188" s="4" t="s">
        <v>594</v>
      </c>
      <c r="C188" s="4" t="s">
        <v>980</v>
      </c>
      <c r="D188" s="4"/>
      <c r="E188" s="4" t="s">
        <v>826</v>
      </c>
      <c r="F188" s="4" t="s">
        <v>1008</v>
      </c>
      <c r="G188" s="4" t="s">
        <v>662</v>
      </c>
      <c r="H188" s="4" t="s">
        <v>713</v>
      </c>
      <c r="I188" s="4" t="s">
        <v>214</v>
      </c>
      <c r="J188" s="4" t="s">
        <v>241</v>
      </c>
      <c r="K188" s="4" t="s">
        <v>631</v>
      </c>
      <c r="L188" s="4"/>
      <c r="M188" s="4"/>
      <c r="N188" s="4"/>
    </row>
    <row r="189" customFormat="false" ht="15" hidden="false" customHeight="false" outlineLevel="0" collapsed="false">
      <c r="A189" s="4" t="s">
        <v>101</v>
      </c>
      <c r="B189" s="4" t="s">
        <v>594</v>
      </c>
      <c r="C189" s="4" t="s">
        <v>980</v>
      </c>
      <c r="D189" s="4"/>
      <c r="E189" s="4" t="s">
        <v>699</v>
      </c>
      <c r="F189" s="4" t="s">
        <v>700</v>
      </c>
      <c r="G189" s="4" t="s">
        <v>647</v>
      </c>
      <c r="H189" s="4" t="s">
        <v>648</v>
      </c>
      <c r="I189" s="4" t="s">
        <v>227</v>
      </c>
      <c r="J189" s="4"/>
      <c r="K189" s="4" t="s">
        <v>631</v>
      </c>
      <c r="L189" s="4"/>
      <c r="M189" s="4"/>
      <c r="N189" s="4"/>
    </row>
    <row r="190" customFormat="false" ht="23.85" hidden="false" customHeight="false" outlineLevel="0" collapsed="false">
      <c r="A190" s="4" t="s">
        <v>101</v>
      </c>
      <c r="B190" s="4" t="s">
        <v>594</v>
      </c>
      <c r="C190" s="4" t="s">
        <v>1009</v>
      </c>
      <c r="D190" s="4"/>
      <c r="E190" s="4" t="s">
        <v>1010</v>
      </c>
      <c r="F190" s="4" t="s">
        <v>1011</v>
      </c>
      <c r="G190" s="4" t="s">
        <v>628</v>
      </c>
      <c r="H190" s="4" t="s">
        <v>629</v>
      </c>
      <c r="I190" s="4" t="s">
        <v>630</v>
      </c>
      <c r="J190" s="4"/>
      <c r="K190" s="4" t="s">
        <v>631</v>
      </c>
      <c r="L190" s="4"/>
      <c r="M190" s="4"/>
      <c r="N190" s="4" t="s">
        <v>1012</v>
      </c>
    </row>
    <row r="191" customFormat="false" ht="23.85" hidden="false" customHeight="false" outlineLevel="0" collapsed="false">
      <c r="A191" s="4" t="s">
        <v>101</v>
      </c>
      <c r="B191" s="4" t="s">
        <v>594</v>
      </c>
      <c r="C191" s="4" t="s">
        <v>1009</v>
      </c>
      <c r="D191" s="4"/>
      <c r="E191" s="4" t="s">
        <v>985</v>
      </c>
      <c r="F191" s="4" t="s">
        <v>1013</v>
      </c>
      <c r="G191" s="4" t="s">
        <v>635</v>
      </c>
      <c r="H191" s="4" t="s">
        <v>629</v>
      </c>
      <c r="I191" s="4" t="s">
        <v>630</v>
      </c>
      <c r="J191" s="4"/>
      <c r="K191" s="4" t="s">
        <v>631</v>
      </c>
      <c r="L191" s="4"/>
      <c r="M191" s="4"/>
      <c r="N191" s="4"/>
    </row>
    <row r="192" customFormat="false" ht="23.85" hidden="false" customHeight="false" outlineLevel="0" collapsed="false">
      <c r="A192" s="4" t="s">
        <v>101</v>
      </c>
      <c r="B192" s="4" t="s">
        <v>594</v>
      </c>
      <c r="C192" s="4" t="s">
        <v>1009</v>
      </c>
      <c r="D192" s="4"/>
      <c r="E192" s="4" t="s">
        <v>1014</v>
      </c>
      <c r="F192" s="4" t="s">
        <v>1015</v>
      </c>
      <c r="G192" s="4" t="s">
        <v>641</v>
      </c>
      <c r="H192" s="4" t="s">
        <v>642</v>
      </c>
      <c r="I192" s="4" t="s">
        <v>214</v>
      </c>
      <c r="J192" s="4"/>
      <c r="K192" s="4" t="s">
        <v>631</v>
      </c>
      <c r="L192" s="4"/>
      <c r="M192" s="4"/>
      <c r="N192" s="4"/>
    </row>
    <row r="193" customFormat="false" ht="23.85" hidden="false" customHeight="false" outlineLevel="0" collapsed="false">
      <c r="A193" s="4" t="s">
        <v>101</v>
      </c>
      <c r="B193" s="4" t="s">
        <v>594</v>
      </c>
      <c r="C193" s="4" t="s">
        <v>1009</v>
      </c>
      <c r="D193" s="4"/>
      <c r="E193" s="4" t="s">
        <v>1016</v>
      </c>
      <c r="F193" s="4" t="s">
        <v>1017</v>
      </c>
      <c r="G193" s="4" t="s">
        <v>641</v>
      </c>
      <c r="H193" s="4" t="s">
        <v>642</v>
      </c>
      <c r="I193" s="4" t="s">
        <v>214</v>
      </c>
      <c r="J193" s="4"/>
      <c r="K193" s="4" t="s">
        <v>631</v>
      </c>
      <c r="L193" s="4"/>
      <c r="M193" s="4"/>
      <c r="N193" s="4"/>
    </row>
    <row r="194" customFormat="false" ht="23.85" hidden="false" customHeight="false" outlineLevel="0" collapsed="false">
      <c r="A194" s="4" t="s">
        <v>101</v>
      </c>
      <c r="B194" s="4" t="s">
        <v>594</v>
      </c>
      <c r="C194" s="4" t="s">
        <v>1009</v>
      </c>
      <c r="D194" s="4"/>
      <c r="E194" s="4" t="s">
        <v>1018</v>
      </c>
      <c r="F194" s="4" t="s">
        <v>1019</v>
      </c>
      <c r="G194" s="4" t="s">
        <v>662</v>
      </c>
      <c r="H194" s="4" t="s">
        <v>713</v>
      </c>
      <c r="I194" s="4" t="s">
        <v>214</v>
      </c>
      <c r="J194" s="4" t="s">
        <v>875</v>
      </c>
      <c r="K194" s="4" t="s">
        <v>631</v>
      </c>
      <c r="L194" s="4" t="s">
        <v>1020</v>
      </c>
      <c r="M194" s="4" t="s">
        <v>188</v>
      </c>
      <c r="N194" s="4"/>
    </row>
    <row r="195" customFormat="false" ht="23.85" hidden="false" customHeight="false" outlineLevel="0" collapsed="false">
      <c r="A195" s="4" t="s">
        <v>101</v>
      </c>
      <c r="B195" s="4" t="s">
        <v>594</v>
      </c>
      <c r="C195" s="4" t="s">
        <v>1009</v>
      </c>
      <c r="D195" s="4"/>
      <c r="E195" s="4" t="s">
        <v>1021</v>
      </c>
      <c r="F195" s="4" t="s">
        <v>1022</v>
      </c>
      <c r="G195" s="4" t="s">
        <v>662</v>
      </c>
      <c r="H195" s="4" t="s">
        <v>663</v>
      </c>
      <c r="I195" s="4" t="s">
        <v>185</v>
      </c>
      <c r="J195" s="4" t="s">
        <v>1023</v>
      </c>
      <c r="K195" s="4" t="s">
        <v>631</v>
      </c>
      <c r="L195" s="4" t="s">
        <v>680</v>
      </c>
      <c r="M195" s="4" t="s">
        <v>188</v>
      </c>
      <c r="N195" s="4"/>
    </row>
    <row r="196" customFormat="false" ht="23.85" hidden="false" customHeight="false" outlineLevel="0" collapsed="false">
      <c r="A196" s="4" t="s">
        <v>101</v>
      </c>
      <c r="B196" s="4" t="s">
        <v>594</v>
      </c>
      <c r="C196" s="4" t="s">
        <v>1009</v>
      </c>
      <c r="D196" s="4"/>
      <c r="E196" s="4" t="s">
        <v>1024</v>
      </c>
      <c r="F196" s="4" t="s">
        <v>1025</v>
      </c>
      <c r="G196" s="4" t="s">
        <v>662</v>
      </c>
      <c r="H196" s="4" t="s">
        <v>648</v>
      </c>
      <c r="I196" s="4" t="s">
        <v>227</v>
      </c>
      <c r="J196" s="4" t="s">
        <v>774</v>
      </c>
      <c r="K196" s="4" t="s">
        <v>631</v>
      </c>
      <c r="L196" s="4"/>
      <c r="M196" s="4"/>
      <c r="N196" s="4"/>
    </row>
    <row r="197" customFormat="false" ht="23.85" hidden="false" customHeight="false" outlineLevel="0" collapsed="false">
      <c r="A197" s="4" t="s">
        <v>101</v>
      </c>
      <c r="B197" s="4" t="s">
        <v>594</v>
      </c>
      <c r="C197" s="4" t="s">
        <v>1009</v>
      </c>
      <c r="D197" s="4"/>
      <c r="E197" s="4" t="s">
        <v>1026</v>
      </c>
      <c r="F197" s="4" t="s">
        <v>1027</v>
      </c>
      <c r="G197" s="4" t="s">
        <v>662</v>
      </c>
      <c r="H197" s="4" t="s">
        <v>663</v>
      </c>
      <c r="I197" s="4" t="s">
        <v>185</v>
      </c>
      <c r="J197" s="4" t="s">
        <v>184</v>
      </c>
      <c r="K197" s="4" t="s">
        <v>631</v>
      </c>
      <c r="L197" s="4" t="s">
        <v>1028</v>
      </c>
      <c r="M197" s="4" t="s">
        <v>188</v>
      </c>
      <c r="N197" s="4"/>
    </row>
    <row r="198" customFormat="false" ht="23.85" hidden="false" customHeight="false" outlineLevel="0" collapsed="false">
      <c r="A198" s="4" t="s">
        <v>101</v>
      </c>
      <c r="B198" s="4" t="s">
        <v>594</v>
      </c>
      <c r="C198" s="4" t="s">
        <v>1009</v>
      </c>
      <c r="D198" s="4"/>
      <c r="E198" s="4" t="s">
        <v>1029</v>
      </c>
      <c r="F198" s="4" t="s">
        <v>1030</v>
      </c>
      <c r="G198" s="4" t="s">
        <v>662</v>
      </c>
      <c r="H198" s="4" t="s">
        <v>713</v>
      </c>
      <c r="I198" s="4" t="s">
        <v>214</v>
      </c>
      <c r="J198" s="4" t="s">
        <v>238</v>
      </c>
      <c r="K198" s="4" t="s">
        <v>631</v>
      </c>
      <c r="L198" s="4"/>
      <c r="M198" s="4"/>
      <c r="N198" s="4"/>
    </row>
    <row r="199" customFormat="false" ht="23.85" hidden="false" customHeight="false" outlineLevel="0" collapsed="false">
      <c r="A199" s="4" t="s">
        <v>101</v>
      </c>
      <c r="B199" s="4" t="s">
        <v>594</v>
      </c>
      <c r="C199" s="4" t="s">
        <v>1009</v>
      </c>
      <c r="D199" s="4"/>
      <c r="E199" s="4" t="s">
        <v>1031</v>
      </c>
      <c r="F199" s="4" t="s">
        <v>1032</v>
      </c>
      <c r="G199" s="4" t="s">
        <v>662</v>
      </c>
      <c r="H199" s="4" t="s">
        <v>751</v>
      </c>
      <c r="I199" s="4" t="s">
        <v>752</v>
      </c>
      <c r="J199" s="4" t="s">
        <v>241</v>
      </c>
      <c r="K199" s="4" t="s">
        <v>631</v>
      </c>
      <c r="L199" s="4" t="s">
        <v>1033</v>
      </c>
      <c r="M199" s="4" t="s">
        <v>188</v>
      </c>
      <c r="N199" s="4"/>
    </row>
    <row r="200" customFormat="false" ht="23.85" hidden="false" customHeight="false" outlineLevel="0" collapsed="false">
      <c r="A200" s="4" t="s">
        <v>101</v>
      </c>
      <c r="B200" s="4" t="s">
        <v>594</v>
      </c>
      <c r="C200" s="4" t="s">
        <v>1009</v>
      </c>
      <c r="D200" s="4"/>
      <c r="E200" s="4" t="s">
        <v>1034</v>
      </c>
      <c r="F200" s="4" t="s">
        <v>1035</v>
      </c>
      <c r="G200" s="4" t="s">
        <v>662</v>
      </c>
      <c r="H200" s="4" t="s">
        <v>704</v>
      </c>
      <c r="I200" s="4" t="s">
        <v>705</v>
      </c>
      <c r="J200" s="4" t="s">
        <v>706</v>
      </c>
      <c r="K200" s="4" t="s">
        <v>631</v>
      </c>
      <c r="L200" s="4"/>
      <c r="M200" s="4"/>
      <c r="N200" s="4"/>
    </row>
    <row r="201" customFormat="false" ht="23.85" hidden="false" customHeight="false" outlineLevel="0" collapsed="false">
      <c r="A201" s="4" t="s">
        <v>101</v>
      </c>
      <c r="B201" s="4" t="s">
        <v>594</v>
      </c>
      <c r="C201" s="4" t="s">
        <v>1009</v>
      </c>
      <c r="D201" s="4"/>
      <c r="E201" s="4" t="s">
        <v>699</v>
      </c>
      <c r="F201" s="4" t="s">
        <v>700</v>
      </c>
      <c r="G201" s="4" t="s">
        <v>647</v>
      </c>
      <c r="H201" s="4" t="s">
        <v>648</v>
      </c>
      <c r="I201" s="4" t="s">
        <v>227</v>
      </c>
      <c r="J201" s="4"/>
      <c r="K201" s="4" t="s">
        <v>631</v>
      </c>
      <c r="L201" s="4"/>
      <c r="M201" s="4"/>
      <c r="N201" s="4"/>
    </row>
    <row r="202" customFormat="false" ht="15" hidden="false" customHeight="false" outlineLevel="0" collapsed="false">
      <c r="A202" s="4" t="s">
        <v>596</v>
      </c>
      <c r="B202" s="4" t="s">
        <v>597</v>
      </c>
      <c r="C202" s="4" t="s">
        <v>1036</v>
      </c>
      <c r="D202" s="4"/>
      <c r="E202" s="4" t="s">
        <v>1037</v>
      </c>
      <c r="F202" s="4" t="s">
        <v>1038</v>
      </c>
      <c r="G202" s="4" t="s">
        <v>909</v>
      </c>
      <c r="H202" s="4" t="s">
        <v>648</v>
      </c>
      <c r="I202" s="4" t="s">
        <v>227</v>
      </c>
      <c r="J202" s="4"/>
      <c r="K202" s="4" t="s">
        <v>631</v>
      </c>
      <c r="L202" s="4"/>
      <c r="M202" s="4"/>
      <c r="N202" s="4" t="s">
        <v>1039</v>
      </c>
    </row>
    <row r="203" customFormat="false" ht="23.85" hidden="false" customHeight="false" outlineLevel="0" collapsed="false">
      <c r="A203" s="4" t="s">
        <v>596</v>
      </c>
      <c r="B203" s="4" t="s">
        <v>597</v>
      </c>
      <c r="C203" s="4" t="s">
        <v>1036</v>
      </c>
      <c r="D203" s="4"/>
      <c r="E203" s="4" t="s">
        <v>1040</v>
      </c>
      <c r="F203" s="4" t="s">
        <v>1041</v>
      </c>
      <c r="G203" s="4" t="s">
        <v>628</v>
      </c>
      <c r="H203" s="4" t="s">
        <v>629</v>
      </c>
      <c r="I203" s="4" t="s">
        <v>630</v>
      </c>
      <c r="J203" s="4"/>
      <c r="K203" s="4" t="s">
        <v>631</v>
      </c>
      <c r="L203" s="4"/>
      <c r="M203" s="4"/>
      <c r="N203" s="4"/>
    </row>
    <row r="204" customFormat="false" ht="15" hidden="false" customHeight="false" outlineLevel="0" collapsed="false">
      <c r="A204" s="4" t="s">
        <v>596</v>
      </c>
      <c r="B204" s="4" t="s">
        <v>597</v>
      </c>
      <c r="C204" s="4" t="s">
        <v>1036</v>
      </c>
      <c r="D204" s="4"/>
      <c r="E204" s="4" t="s">
        <v>1042</v>
      </c>
      <c r="F204" s="4" t="s">
        <v>1043</v>
      </c>
      <c r="G204" s="4" t="s">
        <v>662</v>
      </c>
      <c r="H204" s="4" t="s">
        <v>704</v>
      </c>
      <c r="I204" s="4" t="s">
        <v>705</v>
      </c>
      <c r="J204" s="4" t="s">
        <v>706</v>
      </c>
      <c r="K204" s="4" t="s">
        <v>631</v>
      </c>
      <c r="L204" s="4"/>
      <c r="M204" s="4"/>
      <c r="N204" s="4"/>
    </row>
    <row r="205" customFormat="false" ht="15" hidden="false" customHeight="false" outlineLevel="0" collapsed="false">
      <c r="A205" s="4" t="s">
        <v>596</v>
      </c>
      <c r="B205" s="4" t="s">
        <v>597</v>
      </c>
      <c r="C205" s="4" t="s">
        <v>1036</v>
      </c>
      <c r="D205" s="4"/>
      <c r="E205" s="4" t="s">
        <v>1044</v>
      </c>
      <c r="F205" s="4" t="s">
        <v>1045</v>
      </c>
      <c r="G205" s="4" t="s">
        <v>662</v>
      </c>
      <c r="H205" s="4" t="s">
        <v>704</v>
      </c>
      <c r="I205" s="4" t="s">
        <v>705</v>
      </c>
      <c r="J205" s="4" t="s">
        <v>706</v>
      </c>
      <c r="K205" s="4" t="s">
        <v>631</v>
      </c>
      <c r="L205" s="4"/>
      <c r="M205" s="4"/>
      <c r="N205" s="4"/>
    </row>
    <row r="206" customFormat="false" ht="15" hidden="false" customHeight="false" outlineLevel="0" collapsed="false">
      <c r="A206" s="4" t="s">
        <v>596</v>
      </c>
      <c r="B206" s="4" t="s">
        <v>597</v>
      </c>
      <c r="C206" s="4" t="s">
        <v>1036</v>
      </c>
      <c r="D206" s="4"/>
      <c r="E206" s="4" t="s">
        <v>1046</v>
      </c>
      <c r="F206" s="4" t="s">
        <v>1047</v>
      </c>
      <c r="G206" s="4" t="s">
        <v>662</v>
      </c>
      <c r="H206" s="4" t="s">
        <v>713</v>
      </c>
      <c r="I206" s="4" t="s">
        <v>214</v>
      </c>
      <c r="J206" s="4" t="s">
        <v>706</v>
      </c>
      <c r="K206" s="4" t="s">
        <v>631</v>
      </c>
      <c r="L206" s="4"/>
      <c r="M206" s="4"/>
      <c r="N206" s="4" t="s">
        <v>1048</v>
      </c>
    </row>
    <row r="207" customFormat="false" ht="15" hidden="false" customHeight="false" outlineLevel="0" collapsed="false">
      <c r="A207" s="4" t="s">
        <v>596</v>
      </c>
      <c r="B207" s="4" t="s">
        <v>597</v>
      </c>
      <c r="C207" s="4" t="s">
        <v>1036</v>
      </c>
      <c r="D207" s="4"/>
      <c r="E207" s="4" t="s">
        <v>1049</v>
      </c>
      <c r="F207" s="4" t="s">
        <v>1050</v>
      </c>
      <c r="G207" s="4" t="s">
        <v>637</v>
      </c>
      <c r="H207" s="4" t="s">
        <v>648</v>
      </c>
      <c r="I207" s="4" t="s">
        <v>227</v>
      </c>
      <c r="J207" s="4"/>
      <c r="K207" s="4" t="s">
        <v>631</v>
      </c>
      <c r="L207" s="4"/>
      <c r="M207" s="4"/>
      <c r="N207" s="4"/>
    </row>
    <row r="208" customFormat="false" ht="23.85" hidden="false" customHeight="false" outlineLevel="0" collapsed="false">
      <c r="A208" s="4" t="s">
        <v>596</v>
      </c>
      <c r="B208" s="4" t="s">
        <v>597</v>
      </c>
      <c r="C208" s="4" t="s">
        <v>1036</v>
      </c>
      <c r="D208" s="4"/>
      <c r="E208" s="4" t="s">
        <v>1051</v>
      </c>
      <c r="F208" s="4" t="s">
        <v>1052</v>
      </c>
      <c r="G208" s="4" t="s">
        <v>698</v>
      </c>
      <c r="H208" s="4" t="s">
        <v>648</v>
      </c>
      <c r="I208" s="4" t="s">
        <v>227</v>
      </c>
      <c r="J208" s="4"/>
      <c r="K208" s="4" t="s">
        <v>631</v>
      </c>
      <c r="L208" s="4"/>
      <c r="M208" s="4"/>
      <c r="N208" s="4"/>
    </row>
    <row r="209" customFormat="false" ht="15" hidden="false" customHeight="false" outlineLevel="0" collapsed="false">
      <c r="A209" s="4" t="s">
        <v>596</v>
      </c>
      <c r="B209" s="4" t="s">
        <v>597</v>
      </c>
      <c r="C209" s="4" t="s">
        <v>1036</v>
      </c>
      <c r="D209" s="4"/>
      <c r="E209" s="4" t="s">
        <v>1053</v>
      </c>
      <c r="F209" s="4" t="s">
        <v>1054</v>
      </c>
      <c r="G209" s="4" t="s">
        <v>1055</v>
      </c>
      <c r="H209" s="4" t="s">
        <v>648</v>
      </c>
      <c r="I209" s="4" t="s">
        <v>227</v>
      </c>
      <c r="J209" s="4"/>
      <c r="K209" s="4"/>
      <c r="L209" s="4"/>
      <c r="M209" s="4"/>
      <c r="N209" s="4"/>
    </row>
    <row r="210" customFormat="false" ht="15" hidden="false" customHeight="false" outlineLevel="0" collapsed="false">
      <c r="A210" s="4" t="s">
        <v>596</v>
      </c>
      <c r="B210" s="4" t="s">
        <v>597</v>
      </c>
      <c r="C210" s="4" t="s">
        <v>1036</v>
      </c>
      <c r="D210" s="4"/>
      <c r="E210" s="4" t="s">
        <v>699</v>
      </c>
      <c r="F210" s="4" t="s">
        <v>700</v>
      </c>
      <c r="G210" s="4" t="s">
        <v>647</v>
      </c>
      <c r="H210" s="4" t="s">
        <v>648</v>
      </c>
      <c r="I210" s="4" t="s">
        <v>227</v>
      </c>
      <c r="J210" s="4"/>
      <c r="K210" s="4" t="s">
        <v>631</v>
      </c>
      <c r="L210" s="4"/>
      <c r="M210" s="4"/>
      <c r="N210" s="4"/>
    </row>
    <row r="211" customFormat="false" ht="15" hidden="false" customHeight="false" outlineLevel="0" collapsed="false">
      <c r="A211" s="4" t="s">
        <v>115</v>
      </c>
      <c r="B211" s="4" t="s">
        <v>599</v>
      </c>
      <c r="C211" s="4" t="s">
        <v>1056</v>
      </c>
      <c r="D211" s="4"/>
      <c r="E211" s="4" t="s">
        <v>1057</v>
      </c>
      <c r="F211" s="4" t="s">
        <v>1058</v>
      </c>
      <c r="G211" s="4" t="s">
        <v>628</v>
      </c>
      <c r="H211" s="4" t="s">
        <v>629</v>
      </c>
      <c r="I211" s="4" t="s">
        <v>630</v>
      </c>
      <c r="J211" s="4"/>
      <c r="K211" s="4" t="s">
        <v>631</v>
      </c>
      <c r="L211" s="4"/>
      <c r="M211" s="4"/>
      <c r="N211" s="4" t="s">
        <v>1059</v>
      </c>
    </row>
    <row r="212" customFormat="false" ht="15" hidden="false" customHeight="false" outlineLevel="0" collapsed="false">
      <c r="A212" s="4" t="s">
        <v>115</v>
      </c>
      <c r="B212" s="4" t="s">
        <v>599</v>
      </c>
      <c r="C212" s="4" t="s">
        <v>1056</v>
      </c>
      <c r="D212" s="4"/>
      <c r="E212" s="4" t="s">
        <v>1060</v>
      </c>
      <c r="F212" s="4" t="s">
        <v>1061</v>
      </c>
      <c r="G212" s="4" t="s">
        <v>635</v>
      </c>
      <c r="H212" s="4" t="s">
        <v>648</v>
      </c>
      <c r="I212" s="4" t="s">
        <v>227</v>
      </c>
      <c r="J212" s="4"/>
      <c r="K212" s="4" t="s">
        <v>631</v>
      </c>
      <c r="L212" s="4"/>
      <c r="M212" s="4"/>
      <c r="N212" s="4" t="s">
        <v>1062</v>
      </c>
    </row>
    <row r="213" customFormat="false" ht="15" hidden="false" customHeight="false" outlineLevel="0" collapsed="false">
      <c r="A213" s="4" t="s">
        <v>115</v>
      </c>
      <c r="B213" s="4" t="s">
        <v>599</v>
      </c>
      <c r="C213" s="4" t="s">
        <v>1056</v>
      </c>
      <c r="D213" s="4"/>
      <c r="E213" s="4" t="s">
        <v>1063</v>
      </c>
      <c r="F213" s="4" t="s">
        <v>1064</v>
      </c>
      <c r="G213" s="4" t="s">
        <v>662</v>
      </c>
      <c r="H213" s="4" t="s">
        <v>704</v>
      </c>
      <c r="I213" s="4" t="s">
        <v>705</v>
      </c>
      <c r="J213" s="4" t="s">
        <v>706</v>
      </c>
      <c r="K213" s="4" t="s">
        <v>631</v>
      </c>
      <c r="L213" s="4"/>
      <c r="M213" s="4"/>
      <c r="N213" s="4"/>
    </row>
    <row r="214" customFormat="false" ht="15" hidden="false" customHeight="false" outlineLevel="0" collapsed="false">
      <c r="A214" s="4" t="s">
        <v>115</v>
      </c>
      <c r="B214" s="4" t="s">
        <v>599</v>
      </c>
      <c r="C214" s="4" t="s">
        <v>1056</v>
      </c>
      <c r="D214" s="4"/>
      <c r="E214" s="4" t="s">
        <v>850</v>
      </c>
      <c r="F214" s="4" t="s">
        <v>1065</v>
      </c>
      <c r="G214" s="4" t="s">
        <v>662</v>
      </c>
      <c r="H214" s="4" t="s">
        <v>713</v>
      </c>
      <c r="I214" s="4" t="s">
        <v>214</v>
      </c>
      <c r="J214" s="4" t="s">
        <v>706</v>
      </c>
      <c r="K214" s="4" t="s">
        <v>631</v>
      </c>
      <c r="L214" s="4"/>
      <c r="M214" s="4"/>
      <c r="N214" s="4" t="s">
        <v>1066</v>
      </c>
    </row>
    <row r="215" customFormat="false" ht="15" hidden="false" customHeight="false" outlineLevel="0" collapsed="false">
      <c r="A215" s="4" t="s">
        <v>115</v>
      </c>
      <c r="B215" s="4" t="s">
        <v>599</v>
      </c>
      <c r="C215" s="4" t="s">
        <v>1056</v>
      </c>
      <c r="D215" s="4"/>
      <c r="E215" s="4" t="s">
        <v>853</v>
      </c>
      <c r="F215" s="4" t="s">
        <v>1067</v>
      </c>
      <c r="G215" s="4" t="s">
        <v>662</v>
      </c>
      <c r="H215" s="4" t="s">
        <v>648</v>
      </c>
      <c r="I215" s="4" t="s">
        <v>227</v>
      </c>
      <c r="J215" s="4" t="s">
        <v>706</v>
      </c>
      <c r="K215" s="4" t="s">
        <v>631</v>
      </c>
      <c r="L215" s="4"/>
      <c r="M215" s="4"/>
      <c r="N215" s="4" t="s">
        <v>1068</v>
      </c>
    </row>
    <row r="216" customFormat="false" ht="15" hidden="false" customHeight="false" outlineLevel="0" collapsed="false">
      <c r="A216" s="4" t="s">
        <v>115</v>
      </c>
      <c r="B216" s="4" t="s">
        <v>599</v>
      </c>
      <c r="C216" s="4" t="s">
        <v>1056</v>
      </c>
      <c r="D216" s="4"/>
      <c r="E216" s="4" t="s">
        <v>1069</v>
      </c>
      <c r="F216" s="4" t="s">
        <v>1070</v>
      </c>
      <c r="G216" s="4" t="s">
        <v>662</v>
      </c>
      <c r="H216" s="4" t="s">
        <v>663</v>
      </c>
      <c r="I216" s="4" t="s">
        <v>185</v>
      </c>
      <c r="J216" s="4" t="s">
        <v>184</v>
      </c>
      <c r="K216" s="4" t="s">
        <v>631</v>
      </c>
      <c r="L216" s="4" t="s">
        <v>1028</v>
      </c>
      <c r="M216" s="4" t="s">
        <v>188</v>
      </c>
      <c r="N216" s="4"/>
    </row>
    <row r="217" customFormat="false" ht="15" hidden="false" customHeight="false" outlineLevel="0" collapsed="false">
      <c r="A217" s="4" t="s">
        <v>115</v>
      </c>
      <c r="B217" s="4" t="s">
        <v>599</v>
      </c>
      <c r="C217" s="4" t="s">
        <v>1056</v>
      </c>
      <c r="D217" s="4"/>
      <c r="E217" s="4" t="s">
        <v>1071</v>
      </c>
      <c r="F217" s="4" t="s">
        <v>998</v>
      </c>
      <c r="G217" s="4" t="s">
        <v>662</v>
      </c>
      <c r="H217" s="4" t="s">
        <v>648</v>
      </c>
      <c r="I217" s="4" t="s">
        <v>227</v>
      </c>
      <c r="J217" s="4" t="s">
        <v>226</v>
      </c>
      <c r="K217" s="4" t="s">
        <v>631</v>
      </c>
      <c r="L217" s="4" t="s">
        <v>1072</v>
      </c>
      <c r="M217" s="4" t="s">
        <v>188</v>
      </c>
      <c r="N217" s="4"/>
    </row>
    <row r="218" customFormat="false" ht="15" hidden="false" customHeight="false" outlineLevel="0" collapsed="false">
      <c r="A218" s="4" t="s">
        <v>115</v>
      </c>
      <c r="B218" s="4" t="s">
        <v>599</v>
      </c>
      <c r="C218" s="4" t="s">
        <v>1056</v>
      </c>
      <c r="D218" s="4"/>
      <c r="E218" s="4" t="s">
        <v>1073</v>
      </c>
      <c r="F218" s="4" t="s">
        <v>1074</v>
      </c>
      <c r="G218" s="4" t="s">
        <v>662</v>
      </c>
      <c r="H218" s="4" t="s">
        <v>704</v>
      </c>
      <c r="I218" s="4" t="s">
        <v>705</v>
      </c>
      <c r="J218" s="4" t="s">
        <v>706</v>
      </c>
      <c r="K218" s="4" t="s">
        <v>631</v>
      </c>
      <c r="L218" s="4"/>
      <c r="M218" s="4"/>
      <c r="N218" s="4"/>
    </row>
    <row r="219" customFormat="false" ht="15" hidden="false" customHeight="false" outlineLevel="0" collapsed="false">
      <c r="A219" s="4" t="s">
        <v>115</v>
      </c>
      <c r="B219" s="4" t="s">
        <v>599</v>
      </c>
      <c r="C219" s="4" t="s">
        <v>1056</v>
      </c>
      <c r="D219" s="4"/>
      <c r="E219" s="4" t="s">
        <v>699</v>
      </c>
      <c r="F219" s="4" t="s">
        <v>700</v>
      </c>
      <c r="G219" s="4" t="s">
        <v>647</v>
      </c>
      <c r="H219" s="4" t="s">
        <v>648</v>
      </c>
      <c r="I219" s="4" t="s">
        <v>227</v>
      </c>
      <c r="J219" s="4"/>
      <c r="K219" s="4" t="s">
        <v>631</v>
      </c>
      <c r="L219" s="4"/>
      <c r="M219" s="4"/>
      <c r="N219" s="4"/>
    </row>
    <row r="220" customFormat="false" ht="15" hidden="false" customHeight="false" outlineLevel="0" collapsed="false">
      <c r="A220" s="4" t="s">
        <v>115</v>
      </c>
      <c r="B220" s="4" t="s">
        <v>599</v>
      </c>
      <c r="C220" s="4" t="s">
        <v>1075</v>
      </c>
      <c r="D220" s="4"/>
      <c r="E220" s="4" t="s">
        <v>1076</v>
      </c>
      <c r="F220" s="4" t="s">
        <v>1077</v>
      </c>
      <c r="G220" s="4" t="s">
        <v>628</v>
      </c>
      <c r="H220" s="4" t="s">
        <v>629</v>
      </c>
      <c r="I220" s="4" t="s">
        <v>630</v>
      </c>
      <c r="J220" s="4"/>
      <c r="K220" s="4" t="s">
        <v>631</v>
      </c>
      <c r="L220" s="4"/>
      <c r="M220" s="4"/>
      <c r="N220" s="4" t="s">
        <v>1078</v>
      </c>
    </row>
    <row r="221" customFormat="false" ht="15" hidden="false" customHeight="false" outlineLevel="0" collapsed="false">
      <c r="A221" s="4" t="s">
        <v>115</v>
      </c>
      <c r="B221" s="4" t="s">
        <v>599</v>
      </c>
      <c r="C221" s="4" t="s">
        <v>1075</v>
      </c>
      <c r="D221" s="4"/>
      <c r="E221" s="4" t="s">
        <v>1026</v>
      </c>
      <c r="F221" s="4" t="s">
        <v>1079</v>
      </c>
      <c r="G221" s="4" t="s">
        <v>662</v>
      </c>
      <c r="H221" s="4" t="s">
        <v>663</v>
      </c>
      <c r="I221" s="4" t="s">
        <v>185</v>
      </c>
      <c r="J221" s="4" t="s">
        <v>184</v>
      </c>
      <c r="K221" s="4" t="s">
        <v>631</v>
      </c>
      <c r="L221" s="4" t="s">
        <v>690</v>
      </c>
      <c r="M221" s="4" t="s">
        <v>188</v>
      </c>
      <c r="N221" s="4"/>
    </row>
    <row r="222" customFormat="false" ht="15" hidden="false" customHeight="false" outlineLevel="0" collapsed="false">
      <c r="A222" s="4" t="s">
        <v>115</v>
      </c>
      <c r="B222" s="4" t="s">
        <v>599</v>
      </c>
      <c r="C222" s="4" t="s">
        <v>1075</v>
      </c>
      <c r="D222" s="4"/>
      <c r="E222" s="4" t="s">
        <v>1080</v>
      </c>
      <c r="F222" s="4" t="s">
        <v>1081</v>
      </c>
      <c r="G222" s="4" t="s">
        <v>662</v>
      </c>
      <c r="H222" s="4" t="s">
        <v>663</v>
      </c>
      <c r="I222" s="4" t="s">
        <v>185</v>
      </c>
      <c r="J222" s="4" t="s">
        <v>191</v>
      </c>
      <c r="K222" s="4" t="s">
        <v>631</v>
      </c>
      <c r="L222" s="4" t="s">
        <v>1082</v>
      </c>
      <c r="M222" s="4" t="s">
        <v>188</v>
      </c>
      <c r="N222" s="4"/>
    </row>
    <row r="223" customFormat="false" ht="15" hidden="false" customHeight="false" outlineLevel="0" collapsed="false">
      <c r="A223" s="4" t="s">
        <v>115</v>
      </c>
      <c r="B223" s="4" t="s">
        <v>599</v>
      </c>
      <c r="C223" s="4" t="s">
        <v>1075</v>
      </c>
      <c r="D223" s="4"/>
      <c r="E223" s="4" t="s">
        <v>1029</v>
      </c>
      <c r="F223" s="4" t="s">
        <v>1030</v>
      </c>
      <c r="G223" s="4" t="s">
        <v>662</v>
      </c>
      <c r="H223" s="4" t="s">
        <v>713</v>
      </c>
      <c r="I223" s="4" t="s">
        <v>214</v>
      </c>
      <c r="J223" s="4" t="s">
        <v>238</v>
      </c>
      <c r="K223" s="4" t="s">
        <v>631</v>
      </c>
      <c r="L223" s="4"/>
      <c r="M223" s="4"/>
      <c r="N223" s="4"/>
    </row>
    <row r="224" customFormat="false" ht="15" hidden="false" customHeight="false" outlineLevel="0" collapsed="false">
      <c r="A224" s="4" t="s">
        <v>115</v>
      </c>
      <c r="B224" s="4" t="s">
        <v>599</v>
      </c>
      <c r="C224" s="4" t="s">
        <v>1075</v>
      </c>
      <c r="D224" s="4"/>
      <c r="E224" s="4" t="s">
        <v>1031</v>
      </c>
      <c r="F224" s="4" t="s">
        <v>1032</v>
      </c>
      <c r="G224" s="4" t="s">
        <v>662</v>
      </c>
      <c r="H224" s="4" t="s">
        <v>751</v>
      </c>
      <c r="I224" s="4" t="s">
        <v>752</v>
      </c>
      <c r="J224" s="4" t="s">
        <v>241</v>
      </c>
      <c r="K224" s="4" t="s">
        <v>631</v>
      </c>
      <c r="L224" s="4" t="s">
        <v>1033</v>
      </c>
      <c r="M224" s="4" t="s">
        <v>188</v>
      </c>
      <c r="N224" s="4"/>
    </row>
    <row r="225" customFormat="false" ht="15" hidden="false" customHeight="false" outlineLevel="0" collapsed="false">
      <c r="A225" s="4" t="s">
        <v>115</v>
      </c>
      <c r="B225" s="4" t="s">
        <v>599</v>
      </c>
      <c r="C225" s="4" t="s">
        <v>1075</v>
      </c>
      <c r="D225" s="4"/>
      <c r="E225" s="4" t="s">
        <v>1083</v>
      </c>
      <c r="F225" s="4" t="s">
        <v>1084</v>
      </c>
      <c r="G225" s="4" t="s">
        <v>662</v>
      </c>
      <c r="H225" s="4" t="s">
        <v>751</v>
      </c>
      <c r="I225" s="4" t="s">
        <v>752</v>
      </c>
      <c r="J225" s="4" t="s">
        <v>241</v>
      </c>
      <c r="K225" s="4" t="s">
        <v>631</v>
      </c>
      <c r="L225" s="4" t="s">
        <v>979</v>
      </c>
      <c r="M225" s="4" t="s">
        <v>188</v>
      </c>
      <c r="N225" s="4"/>
    </row>
    <row r="226" customFormat="false" ht="15" hidden="false" customHeight="false" outlineLevel="0" collapsed="false">
      <c r="A226" s="4" t="s">
        <v>115</v>
      </c>
      <c r="B226" s="4" t="s">
        <v>599</v>
      </c>
      <c r="C226" s="4" t="s">
        <v>1075</v>
      </c>
      <c r="D226" s="4"/>
      <c r="E226" s="4" t="s">
        <v>1034</v>
      </c>
      <c r="F226" s="4" t="s">
        <v>1085</v>
      </c>
      <c r="G226" s="4" t="s">
        <v>662</v>
      </c>
      <c r="H226" s="4" t="s">
        <v>704</v>
      </c>
      <c r="I226" s="4" t="s">
        <v>705</v>
      </c>
      <c r="J226" s="4" t="s">
        <v>706</v>
      </c>
      <c r="K226" s="4" t="s">
        <v>631</v>
      </c>
      <c r="L226" s="4"/>
      <c r="M226" s="4"/>
      <c r="N226" s="4"/>
    </row>
    <row r="227" customFormat="false" ht="15" hidden="false" customHeight="false" outlineLevel="0" collapsed="false">
      <c r="A227" s="4" t="s">
        <v>115</v>
      </c>
      <c r="B227" s="4" t="s">
        <v>599</v>
      </c>
      <c r="C227" s="4" t="s">
        <v>1075</v>
      </c>
      <c r="D227" s="4"/>
      <c r="E227" s="4" t="s">
        <v>699</v>
      </c>
      <c r="F227" s="4" t="s">
        <v>700</v>
      </c>
      <c r="G227" s="4" t="s">
        <v>647</v>
      </c>
      <c r="H227" s="4" t="s">
        <v>648</v>
      </c>
      <c r="I227" s="4" t="s">
        <v>227</v>
      </c>
      <c r="J227" s="4"/>
      <c r="K227" s="4" t="s">
        <v>631</v>
      </c>
      <c r="L227" s="4"/>
      <c r="M227" s="4"/>
      <c r="N227" s="4"/>
    </row>
    <row r="228" customFormat="false" ht="23.85" hidden="false" customHeight="false" outlineLevel="0" collapsed="false">
      <c r="A228" s="4" t="s">
        <v>601</v>
      </c>
      <c r="B228" s="4" t="s">
        <v>602</v>
      </c>
      <c r="C228" s="4" t="s">
        <v>1086</v>
      </c>
      <c r="D228" s="4"/>
      <c r="E228" s="4" t="s">
        <v>1087</v>
      </c>
      <c r="F228" s="4" t="s">
        <v>4</v>
      </c>
      <c r="G228" s="4" t="s">
        <v>675</v>
      </c>
      <c r="H228" s="4" t="s">
        <v>638</v>
      </c>
      <c r="I228" s="4" t="s">
        <v>214</v>
      </c>
      <c r="J228" s="4"/>
      <c r="K228" s="4" t="s">
        <v>631</v>
      </c>
      <c r="L228" s="4"/>
      <c r="M228" s="4"/>
      <c r="N228" s="4" t="s">
        <v>1088</v>
      </c>
    </row>
    <row r="229" customFormat="false" ht="23.85" hidden="false" customHeight="false" outlineLevel="0" collapsed="false">
      <c r="A229" s="4" t="s">
        <v>601</v>
      </c>
      <c r="B229" s="4" t="s">
        <v>602</v>
      </c>
      <c r="C229" s="4" t="s">
        <v>1086</v>
      </c>
      <c r="D229" s="4"/>
      <c r="E229" s="4" t="s">
        <v>1089</v>
      </c>
      <c r="F229" s="4" t="s">
        <v>23</v>
      </c>
      <c r="G229" s="4" t="s">
        <v>675</v>
      </c>
      <c r="H229" s="4" t="s">
        <v>638</v>
      </c>
      <c r="I229" s="4" t="s">
        <v>214</v>
      </c>
      <c r="J229" s="4"/>
      <c r="K229" s="4" t="s">
        <v>631</v>
      </c>
      <c r="L229" s="4"/>
      <c r="M229" s="4"/>
      <c r="N229" s="4" t="s">
        <v>1090</v>
      </c>
    </row>
    <row r="230" customFormat="false" ht="23.85" hidden="false" customHeight="false" outlineLevel="0" collapsed="false">
      <c r="A230" s="4" t="s">
        <v>601</v>
      </c>
      <c r="B230" s="4" t="s">
        <v>602</v>
      </c>
      <c r="C230" s="4" t="s">
        <v>1086</v>
      </c>
      <c r="D230" s="4"/>
      <c r="E230" s="4" t="s">
        <v>718</v>
      </c>
      <c r="F230" s="4" t="s">
        <v>1091</v>
      </c>
      <c r="G230" s="4" t="s">
        <v>662</v>
      </c>
      <c r="H230" s="4" t="s">
        <v>713</v>
      </c>
      <c r="I230" s="4" t="s">
        <v>214</v>
      </c>
      <c r="J230" s="4" t="s">
        <v>238</v>
      </c>
      <c r="K230" s="4" t="s">
        <v>631</v>
      </c>
      <c r="L230" s="4"/>
      <c r="M230" s="4"/>
      <c r="N230" s="4"/>
    </row>
    <row r="231" customFormat="false" ht="23.85" hidden="false" customHeight="false" outlineLevel="0" collapsed="false">
      <c r="A231" s="4" t="s">
        <v>601</v>
      </c>
      <c r="B231" s="4" t="s">
        <v>602</v>
      </c>
      <c r="C231" s="4" t="s">
        <v>1086</v>
      </c>
      <c r="D231" s="4"/>
      <c r="E231" s="4" t="s">
        <v>1092</v>
      </c>
      <c r="F231" s="4" t="s">
        <v>1093</v>
      </c>
      <c r="G231" s="4" t="s">
        <v>662</v>
      </c>
      <c r="H231" s="4" t="s">
        <v>713</v>
      </c>
      <c r="I231" s="4" t="s">
        <v>214</v>
      </c>
      <c r="J231" s="4" t="s">
        <v>238</v>
      </c>
      <c r="K231" s="4" t="s">
        <v>631</v>
      </c>
      <c r="L231" s="4"/>
      <c r="M231" s="4"/>
      <c r="N231" s="4"/>
    </row>
    <row r="232" customFormat="false" ht="23.85" hidden="false" customHeight="false" outlineLevel="0" collapsed="false">
      <c r="A232" s="4" t="s">
        <v>601</v>
      </c>
      <c r="B232" s="4" t="s">
        <v>602</v>
      </c>
      <c r="C232" s="4" t="s">
        <v>1086</v>
      </c>
      <c r="D232" s="4"/>
      <c r="E232" s="4" t="s">
        <v>1094</v>
      </c>
      <c r="F232" s="4" t="s">
        <v>1095</v>
      </c>
      <c r="G232" s="4" t="s">
        <v>655</v>
      </c>
      <c r="H232" s="4" t="s">
        <v>713</v>
      </c>
      <c r="I232" s="4" t="s">
        <v>214</v>
      </c>
      <c r="J232" s="4"/>
      <c r="K232" s="4" t="s">
        <v>631</v>
      </c>
      <c r="L232" s="4"/>
      <c r="M232" s="4"/>
      <c r="N232" s="4"/>
    </row>
    <row r="233" customFormat="false" ht="23.85" hidden="false" customHeight="false" outlineLevel="0" collapsed="false">
      <c r="A233" s="4" t="s">
        <v>601</v>
      </c>
      <c r="B233" s="4" t="s">
        <v>602</v>
      </c>
      <c r="C233" s="4" t="s">
        <v>1086</v>
      </c>
      <c r="D233" s="4"/>
      <c r="E233" s="4" t="s">
        <v>1096</v>
      </c>
      <c r="F233" s="4" t="s">
        <v>1097</v>
      </c>
      <c r="G233" s="4" t="s">
        <v>662</v>
      </c>
      <c r="H233" s="4" t="s">
        <v>713</v>
      </c>
      <c r="I233" s="4" t="s">
        <v>214</v>
      </c>
      <c r="J233" s="4"/>
      <c r="K233" s="4" t="s">
        <v>631</v>
      </c>
      <c r="L233" s="4" t="s">
        <v>1098</v>
      </c>
      <c r="M233" s="4" t="s">
        <v>188</v>
      </c>
      <c r="N233" s="4"/>
    </row>
    <row r="234" customFormat="false" ht="23.85" hidden="false" customHeight="false" outlineLevel="0" collapsed="false">
      <c r="A234" s="4" t="s">
        <v>601</v>
      </c>
      <c r="B234" s="4" t="s">
        <v>602</v>
      </c>
      <c r="C234" s="4" t="s">
        <v>1086</v>
      </c>
      <c r="D234" s="4"/>
      <c r="E234" s="4" t="s">
        <v>1099</v>
      </c>
      <c r="F234" s="4" t="s">
        <v>1100</v>
      </c>
      <c r="G234" s="4" t="s">
        <v>662</v>
      </c>
      <c r="H234" s="4" t="s">
        <v>713</v>
      </c>
      <c r="I234" s="4" t="s">
        <v>214</v>
      </c>
      <c r="J234" s="4" t="s">
        <v>706</v>
      </c>
      <c r="K234" s="4" t="s">
        <v>631</v>
      </c>
      <c r="L234" s="4"/>
      <c r="M234" s="4"/>
      <c r="N234" s="4"/>
    </row>
    <row r="235" customFormat="false" ht="23.85" hidden="false" customHeight="false" outlineLevel="0" collapsed="false">
      <c r="A235" s="4" t="s">
        <v>601</v>
      </c>
      <c r="B235" s="4" t="s">
        <v>602</v>
      </c>
      <c r="C235" s="4" t="s">
        <v>1086</v>
      </c>
      <c r="D235" s="4"/>
      <c r="E235" s="4" t="s">
        <v>1101</v>
      </c>
      <c r="F235" s="4" t="s">
        <v>1102</v>
      </c>
      <c r="G235" s="4" t="s">
        <v>662</v>
      </c>
      <c r="H235" s="4" t="s">
        <v>713</v>
      </c>
      <c r="I235" s="4" t="s">
        <v>214</v>
      </c>
      <c r="J235" s="4"/>
      <c r="K235" s="4" t="s">
        <v>631</v>
      </c>
      <c r="L235" s="4"/>
      <c r="M235" s="4"/>
      <c r="N235" s="4"/>
    </row>
    <row r="236" customFormat="false" ht="23.85" hidden="false" customHeight="false" outlineLevel="0" collapsed="false">
      <c r="A236" s="4" t="s">
        <v>601</v>
      </c>
      <c r="B236" s="4" t="s">
        <v>602</v>
      </c>
      <c r="C236" s="4" t="s">
        <v>1086</v>
      </c>
      <c r="D236" s="4"/>
      <c r="E236" s="4" t="s">
        <v>1103</v>
      </c>
      <c r="F236" s="4" t="s">
        <v>1104</v>
      </c>
      <c r="G236" s="4" t="s">
        <v>655</v>
      </c>
      <c r="H236" s="4" t="s">
        <v>713</v>
      </c>
      <c r="I236" s="4" t="s">
        <v>214</v>
      </c>
      <c r="J236" s="4"/>
      <c r="K236" s="4" t="s">
        <v>631</v>
      </c>
      <c r="L236" s="4"/>
      <c r="M236" s="4"/>
      <c r="N236" s="4"/>
    </row>
    <row r="237" customFormat="false" ht="15" hidden="false" customHeight="false" outlineLevel="0" collapsed="false">
      <c r="A237" s="4" t="s">
        <v>601</v>
      </c>
      <c r="B237" s="4" t="s">
        <v>602</v>
      </c>
      <c r="C237" s="4" t="s">
        <v>1105</v>
      </c>
      <c r="D237" s="4"/>
      <c r="E237" s="4" t="s">
        <v>1106</v>
      </c>
      <c r="F237" s="4" t="s">
        <v>1107</v>
      </c>
      <c r="G237" s="4" t="s">
        <v>655</v>
      </c>
      <c r="H237" s="4" t="s">
        <v>648</v>
      </c>
      <c r="I237" s="4" t="s">
        <v>227</v>
      </c>
      <c r="J237" s="4"/>
      <c r="K237" s="4" t="s">
        <v>631</v>
      </c>
      <c r="L237" s="4"/>
      <c r="M237" s="4"/>
      <c r="N237" s="4"/>
    </row>
    <row r="238" customFormat="false" ht="15" hidden="false" customHeight="false" outlineLevel="0" collapsed="false">
      <c r="A238" s="4" t="s">
        <v>601</v>
      </c>
      <c r="B238" s="4" t="s">
        <v>602</v>
      </c>
      <c r="C238" s="4" t="s">
        <v>1105</v>
      </c>
      <c r="D238" s="4"/>
      <c r="E238" s="4" t="s">
        <v>839</v>
      </c>
      <c r="F238" s="4" t="s">
        <v>1108</v>
      </c>
      <c r="G238" s="4" t="s">
        <v>655</v>
      </c>
      <c r="H238" s="4" t="s">
        <v>648</v>
      </c>
      <c r="I238" s="4" t="s">
        <v>227</v>
      </c>
      <c r="J238" s="4"/>
      <c r="K238" s="4" t="s">
        <v>631</v>
      </c>
      <c r="L238" s="4"/>
      <c r="M238" s="4"/>
      <c r="N238" s="4"/>
    </row>
    <row r="239" customFormat="false" ht="15" hidden="false" customHeight="false" outlineLevel="0" collapsed="false">
      <c r="A239" s="4" t="s">
        <v>601</v>
      </c>
      <c r="B239" s="4" t="s">
        <v>602</v>
      </c>
      <c r="C239" s="4" t="s">
        <v>1105</v>
      </c>
      <c r="D239" s="4"/>
      <c r="E239" s="4" t="s">
        <v>1109</v>
      </c>
      <c r="F239" s="4" t="s">
        <v>1110</v>
      </c>
      <c r="G239" s="4" t="s">
        <v>655</v>
      </c>
      <c r="H239" s="4" t="s">
        <v>648</v>
      </c>
      <c r="I239" s="4" t="s">
        <v>227</v>
      </c>
      <c r="J239" s="4"/>
      <c r="K239" s="4"/>
      <c r="L239" s="4"/>
      <c r="M239" s="4"/>
      <c r="N239" s="4"/>
    </row>
    <row r="240" customFormat="false" ht="15" hidden="false" customHeight="false" outlineLevel="0" collapsed="false">
      <c r="A240" s="4" t="s">
        <v>601</v>
      </c>
      <c r="B240" s="4" t="s">
        <v>602</v>
      </c>
      <c r="C240" s="4" t="s">
        <v>1105</v>
      </c>
      <c r="D240" s="4"/>
      <c r="E240" s="4" t="s">
        <v>1111</v>
      </c>
      <c r="F240" s="4" t="s">
        <v>1112</v>
      </c>
      <c r="G240" s="4" t="s">
        <v>647</v>
      </c>
      <c r="H240" s="4" t="s">
        <v>648</v>
      </c>
      <c r="I240" s="4" t="s">
        <v>227</v>
      </c>
      <c r="J240" s="4"/>
      <c r="K240" s="4" t="s">
        <v>631</v>
      </c>
      <c r="L240" s="4"/>
      <c r="M240" s="4"/>
      <c r="N240" s="4"/>
    </row>
    <row r="241" customFormat="false" ht="15" hidden="false" customHeight="false" outlineLevel="0" collapsed="false">
      <c r="A241" s="4" t="s">
        <v>601</v>
      </c>
      <c r="B241" s="4" t="s">
        <v>602</v>
      </c>
      <c r="C241" s="4" t="s">
        <v>1105</v>
      </c>
      <c r="D241" s="4"/>
      <c r="E241" s="4" t="s">
        <v>1113</v>
      </c>
      <c r="F241" s="4" t="s">
        <v>1114</v>
      </c>
      <c r="G241" s="4" t="s">
        <v>647</v>
      </c>
      <c r="H241" s="4" t="s">
        <v>648</v>
      </c>
      <c r="I241" s="4" t="s">
        <v>227</v>
      </c>
      <c r="J241" s="4"/>
      <c r="K241" s="4" t="s">
        <v>631</v>
      </c>
      <c r="L241" s="4"/>
      <c r="M241" s="4"/>
      <c r="N241" s="4"/>
    </row>
    <row r="242" customFormat="false" ht="23.85" hidden="false" customHeight="false" outlineLevel="0" collapsed="false">
      <c r="A242" s="4" t="s">
        <v>604</v>
      </c>
      <c r="B242" s="4" t="s">
        <v>605</v>
      </c>
      <c r="C242" s="4" t="s">
        <v>1115</v>
      </c>
      <c r="D242" s="4"/>
      <c r="E242" s="4" t="s">
        <v>1116</v>
      </c>
      <c r="F242" s="4" t="s">
        <v>1117</v>
      </c>
      <c r="G242" s="4" t="s">
        <v>1118</v>
      </c>
      <c r="H242" s="4" t="s">
        <v>648</v>
      </c>
      <c r="I242" s="4" t="s">
        <v>227</v>
      </c>
      <c r="J242" s="4"/>
      <c r="K242" s="4" t="s">
        <v>631</v>
      </c>
      <c r="L242" s="4"/>
      <c r="M242" s="4"/>
      <c r="N242" s="4" t="s">
        <v>1119</v>
      </c>
    </row>
    <row r="243" customFormat="false" ht="23.85" hidden="false" customHeight="false" outlineLevel="0" collapsed="false">
      <c r="A243" s="4" t="s">
        <v>604</v>
      </c>
      <c r="B243" s="4" t="s">
        <v>605</v>
      </c>
      <c r="C243" s="4" t="s">
        <v>1115</v>
      </c>
      <c r="D243" s="4"/>
      <c r="E243" s="4" t="s">
        <v>1120</v>
      </c>
      <c r="F243" s="4" t="s">
        <v>1121</v>
      </c>
      <c r="G243" s="4" t="s">
        <v>1118</v>
      </c>
      <c r="H243" s="4" t="s">
        <v>648</v>
      </c>
      <c r="I243" s="4" t="s">
        <v>227</v>
      </c>
      <c r="J243" s="4"/>
      <c r="K243" s="4" t="s">
        <v>631</v>
      </c>
      <c r="L243" s="4"/>
      <c r="M243" s="4"/>
      <c r="N243" s="4" t="s">
        <v>1122</v>
      </c>
    </row>
    <row r="244" customFormat="false" ht="23.85" hidden="false" customHeight="false" outlineLevel="0" collapsed="false">
      <c r="A244" s="4" t="s">
        <v>604</v>
      </c>
      <c r="B244" s="4" t="s">
        <v>605</v>
      </c>
      <c r="C244" s="4" t="s">
        <v>1115</v>
      </c>
      <c r="D244" s="4"/>
      <c r="E244" s="4" t="s">
        <v>1123</v>
      </c>
      <c r="F244" s="4" t="s">
        <v>1124</v>
      </c>
      <c r="G244" s="4" t="s">
        <v>1118</v>
      </c>
      <c r="H244" s="4" t="s">
        <v>648</v>
      </c>
      <c r="I244" s="4" t="s">
        <v>227</v>
      </c>
      <c r="J244" s="4"/>
      <c r="K244" s="4" t="s">
        <v>631</v>
      </c>
      <c r="L244" s="4"/>
      <c r="M244" s="4"/>
      <c r="N244" s="4" t="s">
        <v>1125</v>
      </c>
    </row>
    <row r="245" customFormat="false" ht="23.85" hidden="false" customHeight="false" outlineLevel="0" collapsed="false">
      <c r="A245" s="4" t="s">
        <v>604</v>
      </c>
      <c r="B245" s="4" t="s">
        <v>605</v>
      </c>
      <c r="C245" s="4" t="s">
        <v>1115</v>
      </c>
      <c r="D245" s="4"/>
      <c r="E245" s="4" t="s">
        <v>1126</v>
      </c>
      <c r="F245" s="4" t="s">
        <v>1127</v>
      </c>
      <c r="G245" s="4" t="s">
        <v>1118</v>
      </c>
      <c r="H245" s="4" t="s">
        <v>648</v>
      </c>
      <c r="I245" s="4" t="s">
        <v>227</v>
      </c>
      <c r="J245" s="4"/>
      <c r="K245" s="4" t="s">
        <v>631</v>
      </c>
      <c r="L245" s="4"/>
      <c r="M245" s="4"/>
      <c r="N245" s="4" t="s">
        <v>1125</v>
      </c>
    </row>
    <row r="246" customFormat="false" ht="23.85" hidden="false" customHeight="false" outlineLevel="0" collapsed="false">
      <c r="A246" s="4" t="s">
        <v>604</v>
      </c>
      <c r="B246" s="4" t="s">
        <v>605</v>
      </c>
      <c r="C246" s="4" t="s">
        <v>1115</v>
      </c>
      <c r="D246" s="4"/>
      <c r="E246" s="4" t="s">
        <v>1128</v>
      </c>
      <c r="F246" s="4" t="s">
        <v>1129</v>
      </c>
      <c r="G246" s="4" t="s">
        <v>1118</v>
      </c>
      <c r="H246" s="4" t="s">
        <v>648</v>
      </c>
      <c r="I246" s="4" t="s">
        <v>227</v>
      </c>
      <c r="J246" s="4"/>
      <c r="K246" s="4" t="s">
        <v>631</v>
      </c>
      <c r="L246" s="4"/>
      <c r="M246" s="4"/>
      <c r="N246" s="4" t="s">
        <v>1130</v>
      </c>
    </row>
    <row r="247" customFormat="false" ht="23.85" hidden="false" customHeight="false" outlineLevel="0" collapsed="false">
      <c r="A247" s="4" t="s">
        <v>604</v>
      </c>
      <c r="B247" s="4" t="s">
        <v>605</v>
      </c>
      <c r="C247" s="4" t="s">
        <v>1115</v>
      </c>
      <c r="D247" s="4"/>
      <c r="E247" s="4" t="s">
        <v>1131</v>
      </c>
      <c r="F247" s="4" t="s">
        <v>1132</v>
      </c>
      <c r="G247" s="4" t="s">
        <v>1118</v>
      </c>
      <c r="H247" s="4" t="s">
        <v>648</v>
      </c>
      <c r="I247" s="4" t="s">
        <v>227</v>
      </c>
      <c r="J247" s="4"/>
      <c r="K247" s="4" t="s">
        <v>631</v>
      </c>
      <c r="L247" s="4"/>
      <c r="M247" s="4"/>
      <c r="N247" s="4" t="s">
        <v>1133</v>
      </c>
    </row>
    <row r="248" customFormat="false" ht="23.85" hidden="false" customHeight="false" outlineLevel="0" collapsed="false">
      <c r="A248" s="4" t="s">
        <v>604</v>
      </c>
      <c r="B248" s="4" t="s">
        <v>605</v>
      </c>
      <c r="C248" s="4" t="s">
        <v>1115</v>
      </c>
      <c r="D248" s="4"/>
      <c r="E248" s="4" t="s">
        <v>210</v>
      </c>
      <c r="F248" s="4" t="s">
        <v>1134</v>
      </c>
      <c r="G248" s="4" t="s">
        <v>1118</v>
      </c>
      <c r="H248" s="4" t="s">
        <v>648</v>
      </c>
      <c r="I248" s="4" t="s">
        <v>227</v>
      </c>
      <c r="J248" s="4"/>
      <c r="K248" s="4" t="s">
        <v>631</v>
      </c>
      <c r="L248" s="4"/>
      <c r="M248" s="4"/>
      <c r="N248" s="4" t="s">
        <v>1135</v>
      </c>
    </row>
    <row r="249" customFormat="false" ht="23.85" hidden="false" customHeight="false" outlineLevel="0" collapsed="false">
      <c r="A249" s="4" t="s">
        <v>604</v>
      </c>
      <c r="B249" s="4" t="s">
        <v>605</v>
      </c>
      <c r="C249" s="4" t="s">
        <v>1115</v>
      </c>
      <c r="D249" s="4"/>
      <c r="E249" s="4" t="s">
        <v>1136</v>
      </c>
      <c r="F249" s="4" t="s">
        <v>1137</v>
      </c>
      <c r="G249" s="4" t="s">
        <v>1118</v>
      </c>
      <c r="H249" s="4" t="s">
        <v>648</v>
      </c>
      <c r="I249" s="4" t="s">
        <v>227</v>
      </c>
      <c r="J249" s="4"/>
      <c r="K249" s="4" t="s">
        <v>631</v>
      </c>
      <c r="L249" s="4"/>
      <c r="M249" s="4"/>
      <c r="N249" s="4"/>
    </row>
    <row r="250" customFormat="false" ht="23.85" hidden="false" customHeight="false" outlineLevel="0" collapsed="false">
      <c r="A250" s="4" t="s">
        <v>604</v>
      </c>
      <c r="B250" s="4" t="s">
        <v>605</v>
      </c>
      <c r="C250" s="4" t="s">
        <v>1115</v>
      </c>
      <c r="D250" s="4"/>
      <c r="E250" s="4" t="s">
        <v>1138</v>
      </c>
      <c r="F250" s="4" t="s">
        <v>1139</v>
      </c>
      <c r="G250" s="4" t="s">
        <v>1118</v>
      </c>
      <c r="H250" s="4" t="s">
        <v>648</v>
      </c>
      <c r="I250" s="4" t="s">
        <v>227</v>
      </c>
      <c r="J250" s="4"/>
      <c r="K250" s="4" t="s">
        <v>631</v>
      </c>
      <c r="L250" s="4"/>
      <c r="M250" s="4"/>
      <c r="N250" s="4"/>
    </row>
    <row r="251" customFormat="false" ht="23.85" hidden="false" customHeight="false" outlineLevel="0" collapsed="false">
      <c r="A251" s="4" t="s">
        <v>604</v>
      </c>
      <c r="B251" s="4" t="s">
        <v>605</v>
      </c>
      <c r="C251" s="4" t="s">
        <v>1115</v>
      </c>
      <c r="D251" s="4"/>
      <c r="E251" s="4" t="s">
        <v>1053</v>
      </c>
      <c r="F251" s="4" t="s">
        <v>1140</v>
      </c>
      <c r="G251" s="4" t="s">
        <v>1055</v>
      </c>
      <c r="H251" s="4" t="s">
        <v>648</v>
      </c>
      <c r="I251" s="4" t="s">
        <v>227</v>
      </c>
      <c r="J251" s="4"/>
      <c r="K251" s="4"/>
      <c r="L251" s="4"/>
      <c r="M251" s="4"/>
      <c r="N251" s="4" t="s">
        <v>1141</v>
      </c>
    </row>
    <row r="252" customFormat="false" ht="23.85" hidden="false" customHeight="false" outlineLevel="0" collapsed="false">
      <c r="A252" s="4" t="s">
        <v>604</v>
      </c>
      <c r="B252" s="4" t="s">
        <v>605</v>
      </c>
      <c r="C252" s="4" t="s">
        <v>1115</v>
      </c>
      <c r="D252" s="4"/>
      <c r="E252" s="4" t="s">
        <v>1142</v>
      </c>
      <c r="F252" s="4" t="s">
        <v>1143</v>
      </c>
      <c r="G252" s="4" t="s">
        <v>655</v>
      </c>
      <c r="H252" s="4" t="s">
        <v>648</v>
      </c>
      <c r="I252" s="4" t="s">
        <v>227</v>
      </c>
      <c r="J252" s="4"/>
      <c r="K252" s="4"/>
      <c r="L252" s="4"/>
      <c r="M252" s="4"/>
      <c r="N252" s="4"/>
    </row>
    <row r="253" customFormat="false" ht="23.85" hidden="false" customHeight="false" outlineLevel="0" collapsed="false">
      <c r="A253" s="4" t="s">
        <v>604</v>
      </c>
      <c r="B253" s="4" t="s">
        <v>605</v>
      </c>
      <c r="C253" s="4" t="s">
        <v>1115</v>
      </c>
      <c r="D253" s="4"/>
      <c r="E253" s="4" t="s">
        <v>699</v>
      </c>
      <c r="F253" s="4" t="s">
        <v>700</v>
      </c>
      <c r="G253" s="4" t="s">
        <v>647</v>
      </c>
      <c r="H253" s="4" t="s">
        <v>648</v>
      </c>
      <c r="I253" s="4" t="s">
        <v>227</v>
      </c>
      <c r="J253" s="4"/>
      <c r="K253" s="4" t="s">
        <v>631</v>
      </c>
      <c r="L253" s="4"/>
      <c r="M253" s="4"/>
      <c r="N253" s="4"/>
    </row>
    <row r="254" customFormat="false" ht="15" hidden="false" customHeight="false" outlineLevel="0" collapsed="false">
      <c r="A254" s="4" t="s">
        <v>607</v>
      </c>
      <c r="B254" s="4" t="s">
        <v>608</v>
      </c>
      <c r="C254" s="4" t="s">
        <v>1144</v>
      </c>
      <c r="D254" s="4"/>
      <c r="E254" s="4" t="s">
        <v>1145</v>
      </c>
      <c r="F254" s="4" t="s">
        <v>1146</v>
      </c>
      <c r="G254" s="4" t="s">
        <v>637</v>
      </c>
      <c r="H254" s="4" t="s">
        <v>648</v>
      </c>
      <c r="I254" s="4" t="s">
        <v>227</v>
      </c>
      <c r="J254" s="4"/>
      <c r="K254" s="4" t="s">
        <v>631</v>
      </c>
      <c r="L254" s="4"/>
      <c r="M254" s="4"/>
      <c r="N254" s="4"/>
    </row>
    <row r="255" customFormat="false" ht="15" hidden="false" customHeight="false" outlineLevel="0" collapsed="false">
      <c r="A255" s="4" t="s">
        <v>607</v>
      </c>
      <c r="B255" s="4" t="s">
        <v>608</v>
      </c>
      <c r="C255" s="4" t="s">
        <v>1144</v>
      </c>
      <c r="D255" s="4"/>
      <c r="E255" s="4" t="s">
        <v>636</v>
      </c>
      <c r="F255" s="4" t="s">
        <v>1147</v>
      </c>
      <c r="G255" s="4" t="s">
        <v>637</v>
      </c>
      <c r="H255" s="4" t="s">
        <v>648</v>
      </c>
      <c r="I255" s="4" t="s">
        <v>227</v>
      </c>
      <c r="J255" s="4"/>
      <c r="K255" s="4" t="s">
        <v>631</v>
      </c>
      <c r="L255" s="4"/>
      <c r="M255" s="4"/>
      <c r="N255" s="4"/>
    </row>
    <row r="256" customFormat="false" ht="15" hidden="false" customHeight="false" outlineLevel="0" collapsed="false">
      <c r="A256" s="4" t="s">
        <v>607</v>
      </c>
      <c r="B256" s="4" t="s">
        <v>608</v>
      </c>
      <c r="C256" s="4" t="s">
        <v>1144</v>
      </c>
      <c r="D256" s="4"/>
      <c r="E256" s="4" t="s">
        <v>1148</v>
      </c>
      <c r="F256" s="4" t="s">
        <v>1149</v>
      </c>
      <c r="G256" s="4" t="s">
        <v>637</v>
      </c>
      <c r="H256" s="4" t="s">
        <v>648</v>
      </c>
      <c r="I256" s="4" t="s">
        <v>227</v>
      </c>
      <c r="J256" s="4"/>
      <c r="K256" s="4" t="s">
        <v>631</v>
      </c>
      <c r="L256" s="4"/>
      <c r="M256" s="4"/>
      <c r="N256" s="4"/>
    </row>
    <row r="257" customFormat="false" ht="15" hidden="false" customHeight="false" outlineLevel="0" collapsed="false">
      <c r="A257" s="4" t="s">
        <v>607</v>
      </c>
      <c r="B257" s="4" t="s">
        <v>608</v>
      </c>
      <c r="C257" s="4" t="s">
        <v>1144</v>
      </c>
      <c r="D257" s="4"/>
      <c r="E257" s="4" t="s">
        <v>1150</v>
      </c>
      <c r="F257" s="4" t="s">
        <v>1151</v>
      </c>
      <c r="G257" s="4" t="s">
        <v>662</v>
      </c>
      <c r="H257" s="4" t="s">
        <v>648</v>
      </c>
      <c r="I257" s="4" t="s">
        <v>227</v>
      </c>
      <c r="J257" s="4"/>
      <c r="K257" s="4" t="s">
        <v>631</v>
      </c>
      <c r="L257" s="4"/>
      <c r="M257" s="4"/>
      <c r="N257" s="4"/>
    </row>
    <row r="258" customFormat="false" ht="15" hidden="false" customHeight="false" outlineLevel="0" collapsed="false">
      <c r="A258" s="4" t="s">
        <v>607</v>
      </c>
      <c r="B258" s="4" t="s">
        <v>608</v>
      </c>
      <c r="C258" s="4" t="s">
        <v>1144</v>
      </c>
      <c r="D258" s="4"/>
      <c r="E258" s="4" t="s">
        <v>1152</v>
      </c>
      <c r="F258" s="4" t="s">
        <v>1153</v>
      </c>
      <c r="G258" s="4" t="s">
        <v>662</v>
      </c>
      <c r="H258" s="4" t="s">
        <v>648</v>
      </c>
      <c r="I258" s="4" t="s">
        <v>227</v>
      </c>
      <c r="J258" s="4"/>
      <c r="K258" s="4" t="s">
        <v>631</v>
      </c>
      <c r="L258" s="4"/>
      <c r="M258" s="4"/>
      <c r="N258" s="4"/>
    </row>
    <row r="259" customFormat="false" ht="15" hidden="false" customHeight="false" outlineLevel="0" collapsed="false">
      <c r="A259" s="4" t="s">
        <v>607</v>
      </c>
      <c r="B259" s="4" t="s">
        <v>608</v>
      </c>
      <c r="C259" s="4" t="s">
        <v>1144</v>
      </c>
      <c r="D259" s="4"/>
      <c r="E259" s="4" t="s">
        <v>1154</v>
      </c>
      <c r="F259" s="4" t="s">
        <v>1155</v>
      </c>
      <c r="G259" s="4" t="s">
        <v>662</v>
      </c>
      <c r="H259" s="4" t="s">
        <v>648</v>
      </c>
      <c r="I259" s="4" t="s">
        <v>227</v>
      </c>
      <c r="J259" s="4"/>
      <c r="K259" s="4" t="s">
        <v>631</v>
      </c>
      <c r="L259" s="4"/>
      <c r="M259" s="4"/>
      <c r="N259" s="4"/>
    </row>
    <row r="260" customFormat="false" ht="15" hidden="false" customHeight="false" outlineLevel="0" collapsed="false">
      <c r="A260" s="4" t="s">
        <v>607</v>
      </c>
      <c r="B260" s="4" t="s">
        <v>608</v>
      </c>
      <c r="C260" s="4" t="s">
        <v>1144</v>
      </c>
      <c r="D260" s="4"/>
      <c r="E260" s="4" t="s">
        <v>1156</v>
      </c>
      <c r="F260" s="4" t="s">
        <v>1157</v>
      </c>
      <c r="G260" s="4" t="s">
        <v>662</v>
      </c>
      <c r="H260" s="4" t="s">
        <v>648</v>
      </c>
      <c r="I260" s="4" t="s">
        <v>227</v>
      </c>
      <c r="J260" s="4"/>
      <c r="K260" s="4" t="s">
        <v>631</v>
      </c>
      <c r="L260" s="4"/>
      <c r="M260" s="4"/>
      <c r="N260" s="4"/>
    </row>
    <row r="261" customFormat="false" ht="15" hidden="false" customHeight="false" outlineLevel="0" collapsed="false">
      <c r="A261" s="4" t="s">
        <v>607</v>
      </c>
      <c r="B261" s="4" t="s">
        <v>608</v>
      </c>
      <c r="C261" s="4" t="s">
        <v>1144</v>
      </c>
      <c r="D261" s="4"/>
      <c r="E261" s="4" t="s">
        <v>1158</v>
      </c>
      <c r="F261" s="4" t="s">
        <v>1159</v>
      </c>
      <c r="G261" s="4" t="s">
        <v>1118</v>
      </c>
      <c r="H261" s="4" t="s">
        <v>713</v>
      </c>
      <c r="I261" s="4" t="s">
        <v>214</v>
      </c>
      <c r="J261" s="4"/>
      <c r="K261" s="4" t="s">
        <v>631</v>
      </c>
      <c r="L261" s="4"/>
      <c r="M261" s="4"/>
      <c r="N261" s="4" t="s">
        <v>1160</v>
      </c>
    </row>
    <row r="262" customFormat="false" ht="15" hidden="false" customHeight="false" outlineLevel="0" collapsed="false">
      <c r="A262" s="4" t="s">
        <v>607</v>
      </c>
      <c r="B262" s="4" t="s">
        <v>608</v>
      </c>
      <c r="C262" s="4" t="s">
        <v>1144</v>
      </c>
      <c r="D262" s="4"/>
      <c r="E262" s="4" t="s">
        <v>1161</v>
      </c>
      <c r="F262" s="4" t="s">
        <v>1162</v>
      </c>
      <c r="G262" s="4" t="s">
        <v>641</v>
      </c>
      <c r="H262" s="4" t="s">
        <v>713</v>
      </c>
      <c r="I262" s="4" t="s">
        <v>214</v>
      </c>
      <c r="J262" s="4"/>
      <c r="K262" s="4" t="s">
        <v>631</v>
      </c>
      <c r="L262" s="4"/>
      <c r="M262" s="4"/>
      <c r="N262" s="4"/>
    </row>
    <row r="263" customFormat="false" ht="15" hidden="false" customHeight="false" outlineLevel="0" collapsed="false">
      <c r="A263" s="4" t="s">
        <v>607</v>
      </c>
      <c r="B263" s="4" t="s">
        <v>608</v>
      </c>
      <c r="C263" s="4" t="s">
        <v>1144</v>
      </c>
      <c r="D263" s="4"/>
      <c r="E263" s="4" t="s">
        <v>1163</v>
      </c>
      <c r="F263" s="4" t="s">
        <v>1164</v>
      </c>
      <c r="G263" s="4" t="s">
        <v>647</v>
      </c>
      <c r="H263" s="4" t="s">
        <v>648</v>
      </c>
      <c r="I263" s="4" t="s">
        <v>227</v>
      </c>
      <c r="J263" s="4"/>
      <c r="K263" s="4" t="s">
        <v>631</v>
      </c>
      <c r="L263" s="4"/>
      <c r="M263" s="4"/>
      <c r="N263" s="4"/>
    </row>
    <row r="264" customFormat="false" ht="23.85" hidden="false" customHeight="false" outlineLevel="0" collapsed="false">
      <c r="A264" s="4" t="s">
        <v>609</v>
      </c>
      <c r="B264" s="4" t="s">
        <v>610</v>
      </c>
      <c r="C264" s="4" t="s">
        <v>1165</v>
      </c>
      <c r="D264" s="4"/>
      <c r="E264" s="4" t="s">
        <v>1166</v>
      </c>
      <c r="F264" s="4" t="s">
        <v>1167</v>
      </c>
      <c r="G264" s="4" t="s">
        <v>641</v>
      </c>
      <c r="H264" s="4" t="s">
        <v>638</v>
      </c>
      <c r="I264" s="4" t="s">
        <v>214</v>
      </c>
      <c r="J264" s="4"/>
      <c r="K264" s="4" t="s">
        <v>631</v>
      </c>
      <c r="L264" s="4"/>
      <c r="M264" s="4"/>
      <c r="N264" s="4"/>
    </row>
    <row r="265" customFormat="false" ht="23.85" hidden="false" customHeight="false" outlineLevel="0" collapsed="false">
      <c r="A265" s="4" t="s">
        <v>609</v>
      </c>
      <c r="B265" s="4" t="s">
        <v>610</v>
      </c>
      <c r="C265" s="4" t="s">
        <v>1165</v>
      </c>
      <c r="D265" s="4"/>
      <c r="E265" s="4" t="s">
        <v>1168</v>
      </c>
      <c r="F265" s="4" t="s">
        <v>1169</v>
      </c>
      <c r="G265" s="4" t="s">
        <v>662</v>
      </c>
      <c r="H265" s="4" t="s">
        <v>648</v>
      </c>
      <c r="I265" s="4" t="s">
        <v>227</v>
      </c>
      <c r="J265" s="4" t="s">
        <v>774</v>
      </c>
      <c r="K265" s="4" t="s">
        <v>631</v>
      </c>
      <c r="L265" s="4"/>
      <c r="M265" s="4"/>
      <c r="N265" s="4"/>
    </row>
    <row r="266" customFormat="false" ht="23.85" hidden="false" customHeight="false" outlineLevel="0" collapsed="false">
      <c r="A266" s="4" t="s">
        <v>609</v>
      </c>
      <c r="B266" s="4" t="s">
        <v>610</v>
      </c>
      <c r="C266" s="4" t="s">
        <v>1165</v>
      </c>
      <c r="D266" s="4"/>
      <c r="E266" s="4" t="s">
        <v>1170</v>
      </c>
      <c r="F266" s="4" t="s">
        <v>1171</v>
      </c>
      <c r="G266" s="4" t="s">
        <v>662</v>
      </c>
      <c r="H266" s="4" t="s">
        <v>1172</v>
      </c>
      <c r="I266" s="4" t="s">
        <v>630</v>
      </c>
      <c r="J266" s="4" t="s">
        <v>774</v>
      </c>
      <c r="K266" s="4" t="s">
        <v>631</v>
      </c>
      <c r="L266" s="4"/>
      <c r="M266" s="4"/>
      <c r="N266" s="4"/>
    </row>
    <row r="267" customFormat="false" ht="23.85" hidden="false" customHeight="false" outlineLevel="0" collapsed="false">
      <c r="A267" s="4" t="s">
        <v>609</v>
      </c>
      <c r="B267" s="4" t="s">
        <v>610</v>
      </c>
      <c r="C267" s="4" t="s">
        <v>1165</v>
      </c>
      <c r="D267" s="4"/>
      <c r="E267" s="4" t="s">
        <v>1173</v>
      </c>
      <c r="F267" s="4" t="s">
        <v>1174</v>
      </c>
      <c r="G267" s="4" t="s">
        <v>662</v>
      </c>
      <c r="H267" s="4" t="s">
        <v>713</v>
      </c>
      <c r="I267" s="4" t="s">
        <v>185</v>
      </c>
      <c r="J267" s="4" t="s">
        <v>774</v>
      </c>
      <c r="K267" s="4" t="s">
        <v>631</v>
      </c>
      <c r="L267" s="4"/>
      <c r="M267" s="4"/>
      <c r="N267" s="4"/>
    </row>
    <row r="268" customFormat="false" ht="23.85" hidden="false" customHeight="false" outlineLevel="0" collapsed="false">
      <c r="A268" s="4" t="s">
        <v>609</v>
      </c>
      <c r="B268" s="4" t="s">
        <v>610</v>
      </c>
      <c r="C268" s="4" t="s">
        <v>1165</v>
      </c>
      <c r="D268" s="4"/>
      <c r="E268" s="4" t="s">
        <v>1175</v>
      </c>
      <c r="F268" s="4" t="s">
        <v>1176</v>
      </c>
      <c r="G268" s="4" t="s">
        <v>662</v>
      </c>
      <c r="H268" s="4" t="s">
        <v>713</v>
      </c>
      <c r="I268" s="4" t="s">
        <v>185</v>
      </c>
      <c r="J268" s="4" t="s">
        <v>774</v>
      </c>
      <c r="K268" s="4" t="s">
        <v>631</v>
      </c>
      <c r="L268" s="4"/>
      <c r="M268" s="4"/>
      <c r="N268" s="4"/>
    </row>
    <row r="269" customFormat="false" ht="23.85" hidden="false" customHeight="false" outlineLevel="0" collapsed="false">
      <c r="A269" s="4" t="s">
        <v>609</v>
      </c>
      <c r="B269" s="4" t="s">
        <v>610</v>
      </c>
      <c r="C269" s="4" t="s">
        <v>1165</v>
      </c>
      <c r="D269" s="4"/>
      <c r="E269" s="4" t="s">
        <v>1177</v>
      </c>
      <c r="F269" s="4" t="s">
        <v>1178</v>
      </c>
      <c r="G269" s="4" t="s">
        <v>662</v>
      </c>
      <c r="H269" s="4" t="s">
        <v>648</v>
      </c>
      <c r="I269" s="4" t="s">
        <v>227</v>
      </c>
      <c r="J269" s="4" t="s">
        <v>774</v>
      </c>
      <c r="K269" s="4" t="s">
        <v>631</v>
      </c>
      <c r="L269" s="4"/>
      <c r="M269" s="4"/>
      <c r="N269" s="4"/>
    </row>
    <row r="270" customFormat="false" ht="23.85" hidden="false" customHeight="false" outlineLevel="0" collapsed="false">
      <c r="A270" s="4" t="s">
        <v>609</v>
      </c>
      <c r="B270" s="4" t="s">
        <v>610</v>
      </c>
      <c r="C270" s="4" t="s">
        <v>1165</v>
      </c>
      <c r="D270" s="4"/>
      <c r="E270" s="4" t="s">
        <v>1179</v>
      </c>
      <c r="F270" s="4" t="s">
        <v>1180</v>
      </c>
      <c r="G270" s="4" t="s">
        <v>662</v>
      </c>
      <c r="H270" s="4" t="s">
        <v>648</v>
      </c>
      <c r="I270" s="4" t="s">
        <v>227</v>
      </c>
      <c r="J270" s="4" t="s">
        <v>774</v>
      </c>
      <c r="K270" s="4" t="s">
        <v>631</v>
      </c>
      <c r="L270" s="4"/>
      <c r="M270" s="4"/>
      <c r="N270" s="4"/>
    </row>
    <row r="271" customFormat="false" ht="23.85" hidden="false" customHeight="false" outlineLevel="0" collapsed="false">
      <c r="A271" s="4" t="s">
        <v>609</v>
      </c>
      <c r="B271" s="4" t="s">
        <v>610</v>
      </c>
      <c r="C271" s="4" t="s">
        <v>1165</v>
      </c>
      <c r="D271" s="4"/>
      <c r="E271" s="4" t="s">
        <v>1181</v>
      </c>
      <c r="F271" s="4" t="s">
        <v>1182</v>
      </c>
      <c r="G271" s="4" t="s">
        <v>662</v>
      </c>
      <c r="H271" s="4" t="s">
        <v>713</v>
      </c>
      <c r="I271" s="4" t="s">
        <v>214</v>
      </c>
      <c r="J271" s="4" t="s">
        <v>774</v>
      </c>
      <c r="K271" s="4" t="s">
        <v>631</v>
      </c>
      <c r="L271" s="4"/>
      <c r="M271" s="4"/>
      <c r="N271" s="4" t="s">
        <v>1183</v>
      </c>
    </row>
    <row r="272" customFormat="false" ht="23.85" hidden="false" customHeight="false" outlineLevel="0" collapsed="false">
      <c r="A272" s="4" t="s">
        <v>609</v>
      </c>
      <c r="B272" s="4" t="s">
        <v>610</v>
      </c>
      <c r="C272" s="4" t="s">
        <v>1165</v>
      </c>
      <c r="D272" s="4"/>
      <c r="E272" s="4" t="s">
        <v>1184</v>
      </c>
      <c r="F272" s="4" t="s">
        <v>1185</v>
      </c>
      <c r="G272" s="4" t="s">
        <v>662</v>
      </c>
      <c r="H272" s="4" t="s">
        <v>713</v>
      </c>
      <c r="I272" s="4" t="s">
        <v>214</v>
      </c>
      <c r="J272" s="4" t="s">
        <v>706</v>
      </c>
      <c r="K272" s="4" t="s">
        <v>631</v>
      </c>
      <c r="L272" s="4"/>
      <c r="M272" s="4"/>
      <c r="N272" s="4"/>
    </row>
    <row r="273" customFormat="false" ht="23.85" hidden="false" customHeight="false" outlineLevel="0" collapsed="false">
      <c r="A273" s="4" t="s">
        <v>609</v>
      </c>
      <c r="B273" s="4" t="s">
        <v>610</v>
      </c>
      <c r="C273" s="4" t="s">
        <v>1165</v>
      </c>
      <c r="D273" s="4"/>
      <c r="E273" s="4" t="s">
        <v>1186</v>
      </c>
      <c r="F273" s="4" t="s">
        <v>1187</v>
      </c>
      <c r="G273" s="4" t="s">
        <v>662</v>
      </c>
      <c r="H273" s="4" t="s">
        <v>713</v>
      </c>
      <c r="I273" s="4" t="s">
        <v>214</v>
      </c>
      <c r="J273" s="4" t="s">
        <v>1188</v>
      </c>
      <c r="K273" s="4" t="s">
        <v>631</v>
      </c>
      <c r="L273" s="4" t="s">
        <v>1189</v>
      </c>
      <c r="M273" s="4" t="s">
        <v>188</v>
      </c>
      <c r="N273" s="4"/>
    </row>
    <row r="274" customFormat="false" ht="23.85" hidden="false" customHeight="false" outlineLevel="0" collapsed="false">
      <c r="A274" s="4" t="s">
        <v>609</v>
      </c>
      <c r="B274" s="4" t="s">
        <v>610</v>
      </c>
      <c r="C274" s="4" t="s">
        <v>1165</v>
      </c>
      <c r="D274" s="4"/>
      <c r="E274" s="4" t="s">
        <v>699</v>
      </c>
      <c r="F274" s="4" t="s">
        <v>700</v>
      </c>
      <c r="G274" s="4" t="s">
        <v>647</v>
      </c>
      <c r="H274" s="4" t="s">
        <v>648</v>
      </c>
      <c r="I274" s="4" t="s">
        <v>227</v>
      </c>
      <c r="J274" s="4"/>
      <c r="K274" s="4" t="s">
        <v>631</v>
      </c>
      <c r="L274" s="4"/>
      <c r="M274" s="4"/>
      <c r="N274" s="4"/>
    </row>
    <row r="275" customFormat="false" ht="15" hidden="false" customHeight="false" outlineLevel="0" collapsed="false">
      <c r="A275" s="4" t="s">
        <v>611</v>
      </c>
      <c r="B275" s="4" t="s">
        <v>612</v>
      </c>
      <c r="C275" s="4" t="s">
        <v>1190</v>
      </c>
      <c r="D275" s="4"/>
      <c r="E275" s="4" t="s">
        <v>636</v>
      </c>
      <c r="F275" s="4" t="s">
        <v>1147</v>
      </c>
      <c r="G275" s="4" t="s">
        <v>637</v>
      </c>
      <c r="H275" s="4" t="s">
        <v>638</v>
      </c>
      <c r="I275" s="4" t="s">
        <v>214</v>
      </c>
      <c r="J275" s="4"/>
      <c r="K275" s="4" t="s">
        <v>631</v>
      </c>
      <c r="L275" s="4"/>
      <c r="M275" s="4"/>
      <c r="N275" s="4"/>
    </row>
    <row r="276" customFormat="false" ht="15" hidden="false" customHeight="false" outlineLevel="0" collapsed="false">
      <c r="A276" s="4" t="s">
        <v>611</v>
      </c>
      <c r="B276" s="4" t="s">
        <v>612</v>
      </c>
      <c r="C276" s="4" t="s">
        <v>1190</v>
      </c>
      <c r="D276" s="4"/>
      <c r="E276" s="4" t="s">
        <v>1191</v>
      </c>
      <c r="F276" s="4" t="s">
        <v>1192</v>
      </c>
      <c r="G276" s="4" t="s">
        <v>628</v>
      </c>
      <c r="H276" s="4" t="s">
        <v>629</v>
      </c>
      <c r="I276" s="4" t="s">
        <v>630</v>
      </c>
      <c r="J276" s="4"/>
      <c r="K276" s="4" t="s">
        <v>631</v>
      </c>
      <c r="L276" s="4"/>
      <c r="M276" s="4"/>
      <c r="N276" s="4"/>
    </row>
    <row r="277" customFormat="false" ht="23.85" hidden="false" customHeight="false" outlineLevel="0" collapsed="false">
      <c r="A277" s="4" t="s">
        <v>611</v>
      </c>
      <c r="B277" s="4" t="s">
        <v>612</v>
      </c>
      <c r="C277" s="4" t="s">
        <v>1190</v>
      </c>
      <c r="D277" s="4"/>
      <c r="E277" s="4" t="s">
        <v>1193</v>
      </c>
      <c r="F277" s="4" t="s">
        <v>1194</v>
      </c>
      <c r="G277" s="4" t="s">
        <v>637</v>
      </c>
      <c r="H277" s="4" t="s">
        <v>629</v>
      </c>
      <c r="I277" s="4" t="s">
        <v>630</v>
      </c>
      <c r="J277" s="4"/>
      <c r="K277" s="4" t="s">
        <v>631</v>
      </c>
      <c r="L277" s="4"/>
      <c r="M277" s="4"/>
      <c r="N277" s="4"/>
    </row>
    <row r="278" customFormat="false" ht="15" hidden="false" customHeight="false" outlineLevel="0" collapsed="false">
      <c r="A278" s="4" t="s">
        <v>611</v>
      </c>
      <c r="B278" s="4" t="s">
        <v>612</v>
      </c>
      <c r="C278" s="4" t="s">
        <v>1190</v>
      </c>
      <c r="D278" s="4"/>
      <c r="E278" s="4" t="s">
        <v>1195</v>
      </c>
      <c r="F278" s="4" t="s">
        <v>1196</v>
      </c>
      <c r="G278" s="4" t="s">
        <v>675</v>
      </c>
      <c r="H278" s="4" t="s">
        <v>648</v>
      </c>
      <c r="I278" s="4" t="s">
        <v>227</v>
      </c>
      <c r="J278" s="4"/>
      <c r="K278" s="4" t="s">
        <v>631</v>
      </c>
      <c r="L278" s="4"/>
      <c r="M278" s="4"/>
      <c r="N278" s="4" t="s">
        <v>1197</v>
      </c>
    </row>
    <row r="279" customFormat="false" ht="15" hidden="false" customHeight="false" outlineLevel="0" collapsed="false">
      <c r="A279" s="4" t="s">
        <v>611</v>
      </c>
      <c r="B279" s="4" t="s">
        <v>612</v>
      </c>
      <c r="C279" s="4" t="s">
        <v>1190</v>
      </c>
      <c r="D279" s="4"/>
      <c r="E279" s="4" t="s">
        <v>1198</v>
      </c>
      <c r="F279" s="4" t="s">
        <v>1199</v>
      </c>
      <c r="G279" s="4" t="s">
        <v>641</v>
      </c>
      <c r="H279" s="4" t="s">
        <v>642</v>
      </c>
      <c r="I279" s="4" t="s">
        <v>214</v>
      </c>
      <c r="J279" s="4"/>
      <c r="K279" s="4" t="s">
        <v>631</v>
      </c>
      <c r="L279" s="4"/>
      <c r="M279" s="4"/>
      <c r="N279" s="4"/>
    </row>
    <row r="280" customFormat="false" ht="15" hidden="false" customHeight="false" outlineLevel="0" collapsed="false">
      <c r="A280" s="4" t="s">
        <v>611</v>
      </c>
      <c r="B280" s="4" t="s">
        <v>612</v>
      </c>
      <c r="C280" s="4" t="s">
        <v>1190</v>
      </c>
      <c r="D280" s="4"/>
      <c r="E280" s="4" t="s">
        <v>1200</v>
      </c>
      <c r="F280" s="4" t="s">
        <v>1201</v>
      </c>
      <c r="G280" s="4" t="s">
        <v>641</v>
      </c>
      <c r="H280" s="4" t="s">
        <v>642</v>
      </c>
      <c r="I280" s="4" t="s">
        <v>214</v>
      </c>
      <c r="J280" s="4"/>
      <c r="K280" s="4" t="s">
        <v>631</v>
      </c>
      <c r="L280" s="4"/>
      <c r="M280" s="4"/>
      <c r="N280" s="4"/>
    </row>
    <row r="281" customFormat="false" ht="15" hidden="false" customHeight="false" outlineLevel="0" collapsed="false">
      <c r="A281" s="4" t="s">
        <v>611</v>
      </c>
      <c r="B281" s="4" t="s">
        <v>612</v>
      </c>
      <c r="C281" s="4" t="s">
        <v>1190</v>
      </c>
      <c r="D281" s="4"/>
      <c r="E281" s="4" t="s">
        <v>1202</v>
      </c>
      <c r="F281" s="4" t="s">
        <v>1203</v>
      </c>
      <c r="G281" s="4" t="s">
        <v>698</v>
      </c>
      <c r="H281" s="4" t="s">
        <v>648</v>
      </c>
      <c r="I281" s="4" t="s">
        <v>227</v>
      </c>
      <c r="J281" s="4"/>
      <c r="K281" s="4" t="s">
        <v>631</v>
      </c>
      <c r="L281" s="4"/>
      <c r="M281" s="4"/>
      <c r="N281" s="4"/>
    </row>
    <row r="282" customFormat="false" ht="15" hidden="false" customHeight="false" outlineLevel="0" collapsed="false">
      <c r="A282" s="4" t="s">
        <v>611</v>
      </c>
      <c r="B282" s="4" t="s">
        <v>612</v>
      </c>
      <c r="C282" s="4" t="s">
        <v>1190</v>
      </c>
      <c r="D282" s="4"/>
      <c r="E282" s="4" t="s">
        <v>699</v>
      </c>
      <c r="F282" s="4" t="s">
        <v>700</v>
      </c>
      <c r="G282" s="4" t="s">
        <v>647</v>
      </c>
      <c r="H282" s="4" t="s">
        <v>648</v>
      </c>
      <c r="I282" s="4" t="s">
        <v>227</v>
      </c>
      <c r="J282" s="4"/>
      <c r="K282" s="4" t="s">
        <v>631</v>
      </c>
      <c r="L282" s="4"/>
      <c r="M282" s="4"/>
      <c r="N282" s="4"/>
    </row>
    <row r="283" customFormat="false" ht="15" hidden="false" customHeight="false" outlineLevel="0" collapsed="false">
      <c r="A283" s="4" t="s">
        <v>611</v>
      </c>
      <c r="B283" s="4" t="s">
        <v>612</v>
      </c>
      <c r="C283" s="4" t="s">
        <v>1190</v>
      </c>
      <c r="D283" s="4"/>
      <c r="E283" s="4" t="s">
        <v>1204</v>
      </c>
      <c r="F283" s="4" t="s">
        <v>1205</v>
      </c>
      <c r="G283" s="4" t="s">
        <v>647</v>
      </c>
      <c r="H283" s="4" t="s">
        <v>648</v>
      </c>
      <c r="I283" s="4" t="s">
        <v>227</v>
      </c>
      <c r="J283" s="4"/>
      <c r="K283" s="4" t="s">
        <v>631</v>
      </c>
      <c r="L283" s="4"/>
      <c r="M283" s="4"/>
      <c r="N28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50"/>
    <col collapsed="false" customWidth="true" hidden="false" outlineLevel="0" max="5" min="5" style="0" width="44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6" t="s">
        <v>1206</v>
      </c>
    </row>
    <row r="3" customFormat="false" ht="15" hidden="false" customHeight="false" outlineLevel="0" collapsed="false">
      <c r="A3" s="3" t="s">
        <v>565</v>
      </c>
      <c r="B3" s="3" t="s">
        <v>1207</v>
      </c>
      <c r="C3" s="3" t="s">
        <v>1208</v>
      </c>
      <c r="D3" s="3" t="s">
        <v>1209</v>
      </c>
      <c r="E3" s="3" t="s">
        <v>1210</v>
      </c>
      <c r="F3" s="3" t="s">
        <v>1211</v>
      </c>
    </row>
    <row r="4" customFormat="false" ht="35.05" hidden="false" customHeight="false" outlineLevel="0" collapsed="false">
      <c r="A4" s="4" t="s">
        <v>126</v>
      </c>
      <c r="B4" s="4" t="s">
        <v>1212</v>
      </c>
      <c r="C4" s="4" t="s">
        <v>1213</v>
      </c>
      <c r="D4" s="4" t="s">
        <v>1214</v>
      </c>
      <c r="E4" s="4" t="s">
        <v>1215</v>
      </c>
      <c r="F4" s="4" t="s">
        <v>1216</v>
      </c>
    </row>
    <row r="5" customFormat="false" ht="23.85" hidden="false" customHeight="false" outlineLevel="0" collapsed="false">
      <c r="A5" s="4" t="s">
        <v>132</v>
      </c>
      <c r="B5" s="4" t="s">
        <v>1212</v>
      </c>
      <c r="C5" s="4" t="s">
        <v>1217</v>
      </c>
      <c r="D5" s="4" t="s">
        <v>1218</v>
      </c>
      <c r="E5" s="4" t="s">
        <v>1219</v>
      </c>
      <c r="F5" s="4" t="s">
        <v>1216</v>
      </c>
    </row>
    <row r="6" customFormat="false" ht="35.05" hidden="false" customHeight="false" outlineLevel="0" collapsed="false">
      <c r="A6" s="4" t="s">
        <v>139</v>
      </c>
      <c r="B6" s="4" t="s">
        <v>1212</v>
      </c>
      <c r="C6" s="4" t="s">
        <v>1220</v>
      </c>
      <c r="D6" s="4" t="s">
        <v>1221</v>
      </c>
      <c r="E6" s="4" t="s">
        <v>1222</v>
      </c>
      <c r="F6" s="4" t="s">
        <v>792</v>
      </c>
    </row>
    <row r="7" customFormat="false" ht="35.05" hidden="false" customHeight="false" outlineLevel="0" collapsed="false">
      <c r="A7" s="4" t="s">
        <v>154</v>
      </c>
      <c r="B7" s="4" t="s">
        <v>1212</v>
      </c>
      <c r="C7" s="4" t="s">
        <v>1223</v>
      </c>
      <c r="D7" s="4" t="s">
        <v>1224</v>
      </c>
      <c r="E7" s="4" t="s">
        <v>1225</v>
      </c>
      <c r="F7" s="4" t="s">
        <v>860</v>
      </c>
    </row>
    <row r="8" customFormat="false" ht="23.85" hidden="false" customHeight="false" outlineLevel="0" collapsed="false">
      <c r="A8" s="4" t="s">
        <v>73</v>
      </c>
      <c r="B8" s="4" t="s">
        <v>1226</v>
      </c>
      <c r="C8" s="4" t="s">
        <v>1227</v>
      </c>
      <c r="D8" s="4" t="s">
        <v>1228</v>
      </c>
      <c r="E8" s="4" t="s">
        <v>1229</v>
      </c>
      <c r="F8" s="4" t="s">
        <v>1230</v>
      </c>
    </row>
    <row r="9" customFormat="false" ht="23.85" hidden="false" customHeight="false" outlineLevel="0" collapsed="false">
      <c r="A9" s="4" t="s">
        <v>87</v>
      </c>
      <c r="B9" s="4" t="s">
        <v>1226</v>
      </c>
      <c r="C9" s="4" t="s">
        <v>1231</v>
      </c>
      <c r="D9" s="4" t="s">
        <v>1232</v>
      </c>
      <c r="E9" s="4" t="s">
        <v>1233</v>
      </c>
      <c r="F9" s="4" t="s">
        <v>1234</v>
      </c>
    </row>
    <row r="10" customFormat="false" ht="23.85" hidden="false" customHeight="false" outlineLevel="0" collapsed="false">
      <c r="A10" s="4" t="s">
        <v>101</v>
      </c>
      <c r="B10" s="4" t="s">
        <v>1212</v>
      </c>
      <c r="C10" s="4" t="s">
        <v>1235</v>
      </c>
      <c r="D10" s="4" t="s">
        <v>1236</v>
      </c>
      <c r="E10" s="4" t="s">
        <v>1237</v>
      </c>
      <c r="F10" s="4" t="s">
        <v>1238</v>
      </c>
    </row>
    <row r="11" customFormat="false" ht="23.85" hidden="false" customHeight="false" outlineLevel="0" collapsed="false">
      <c r="A11" s="4" t="s">
        <v>596</v>
      </c>
      <c r="B11" s="4" t="s">
        <v>1239</v>
      </c>
      <c r="C11" s="4" t="s">
        <v>1240</v>
      </c>
      <c r="D11" s="4" t="s">
        <v>1241</v>
      </c>
      <c r="E11" s="4" t="s">
        <v>1242</v>
      </c>
      <c r="F11" s="4" t="s">
        <v>1243</v>
      </c>
    </row>
    <row r="12" customFormat="false" ht="23.85" hidden="false" customHeight="false" outlineLevel="0" collapsed="false">
      <c r="A12" s="4" t="s">
        <v>115</v>
      </c>
      <c r="B12" s="4" t="s">
        <v>1212</v>
      </c>
      <c r="C12" s="4" t="s">
        <v>1244</v>
      </c>
      <c r="D12" s="4" t="s">
        <v>1245</v>
      </c>
      <c r="E12" s="4" t="s">
        <v>1246</v>
      </c>
      <c r="F12" s="4" t="s">
        <v>1247</v>
      </c>
    </row>
    <row r="13" customFormat="false" ht="23.85" hidden="false" customHeight="false" outlineLevel="0" collapsed="false">
      <c r="A13" s="4" t="s">
        <v>601</v>
      </c>
      <c r="B13" s="4" t="s">
        <v>1248</v>
      </c>
      <c r="C13" s="4" t="s">
        <v>1249</v>
      </c>
      <c r="D13" s="4" t="s">
        <v>1250</v>
      </c>
      <c r="E13" s="4" t="s">
        <v>1251</v>
      </c>
      <c r="F13" s="4" t="s">
        <v>591</v>
      </c>
    </row>
    <row r="14" customFormat="false" ht="23.85" hidden="false" customHeight="false" outlineLevel="0" collapsed="false">
      <c r="A14" s="4" t="s">
        <v>604</v>
      </c>
      <c r="B14" s="4" t="s">
        <v>1226</v>
      </c>
      <c r="C14" s="4" t="s">
        <v>1252</v>
      </c>
      <c r="D14" s="4" t="s">
        <v>1253</v>
      </c>
      <c r="E14" s="4" t="s">
        <v>1254</v>
      </c>
      <c r="F14" s="4" t="s">
        <v>591</v>
      </c>
    </row>
    <row r="15" customFormat="false" ht="23.85" hidden="false" customHeight="false" outlineLevel="0" collapsed="false">
      <c r="A15" s="4" t="s">
        <v>607</v>
      </c>
      <c r="B15" s="4" t="s">
        <v>1255</v>
      </c>
      <c r="C15" s="4" t="s">
        <v>1256</v>
      </c>
      <c r="D15" s="4" t="s">
        <v>1257</v>
      </c>
      <c r="E15" s="4" t="s">
        <v>1258</v>
      </c>
      <c r="F15" s="4" t="s">
        <v>591</v>
      </c>
    </row>
    <row r="16" customFormat="false" ht="15" hidden="false" customHeight="false" outlineLevel="0" collapsed="false">
      <c r="A16" s="4" t="s">
        <v>609</v>
      </c>
      <c r="B16" s="4" t="s">
        <v>1259</v>
      </c>
      <c r="C16" s="4" t="s">
        <v>1260</v>
      </c>
      <c r="D16" s="4" t="s">
        <v>1261</v>
      </c>
      <c r="E16" s="4" t="s">
        <v>1262</v>
      </c>
      <c r="F16" s="4" t="s">
        <v>591</v>
      </c>
    </row>
    <row r="17" customFormat="false" ht="15" hidden="false" customHeight="false" outlineLevel="0" collapsed="false">
      <c r="A17" s="4" t="s">
        <v>611</v>
      </c>
      <c r="B17" s="4" t="s">
        <v>1239</v>
      </c>
      <c r="C17" s="4" t="s">
        <v>1263</v>
      </c>
      <c r="D17" s="4" t="s">
        <v>1264</v>
      </c>
      <c r="E17" s="4" t="s">
        <v>1265</v>
      </c>
      <c r="F17" s="4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5"/>
    <col collapsed="false" customWidth="true" hidden="false" outlineLevel="0" max="10" min="10" style="0" width="15"/>
    <col collapsed="false" customWidth="true" hidden="false" outlineLevel="0" max="12" min="11" style="0" width="34"/>
    <col collapsed="false" customWidth="true" hidden="false" outlineLevel="0" max="13" min="13" style="0" width="7"/>
    <col collapsed="false" customWidth="true" hidden="false" outlineLevel="0" max="14" min="14" style="0" width="11"/>
    <col collapsed="false" customWidth="true" hidden="false" outlineLevel="0" max="15" min="15" style="0" width="13"/>
  </cols>
  <sheetData>
    <row r="1" customFormat="false" ht="17.35" hidden="false" customHeight="false" outlineLevel="0" collapsed="false">
      <c r="A1" s="6" t="s">
        <v>1266</v>
      </c>
    </row>
    <row r="2" customFormat="false" ht="15" hidden="false" customHeight="false" outlineLevel="0" collapsed="false">
      <c r="A2" s="7" t="s">
        <v>1267</v>
      </c>
    </row>
    <row r="4" customFormat="false" ht="15" hidden="false" customHeight="false" outlineLevel="0" collapsed="false">
      <c r="A4" s="3" t="s">
        <v>565</v>
      </c>
      <c r="B4" s="3" t="s">
        <v>1268</v>
      </c>
      <c r="C4" s="3" t="s">
        <v>1147</v>
      </c>
      <c r="D4" s="3" t="s">
        <v>1269</v>
      </c>
      <c r="E4" s="3" t="s">
        <v>23</v>
      </c>
      <c r="F4" s="3" t="s">
        <v>1270</v>
      </c>
      <c r="G4" s="3" t="s">
        <v>29</v>
      </c>
      <c r="H4" s="3" t="s">
        <v>616</v>
      </c>
      <c r="I4" s="3" t="s">
        <v>1271</v>
      </c>
      <c r="J4" s="3" t="s">
        <v>618</v>
      </c>
      <c r="K4" s="3" t="s">
        <v>619</v>
      </c>
      <c r="L4" s="3" t="s">
        <v>1272</v>
      </c>
      <c r="M4" s="3" t="s">
        <v>171</v>
      </c>
      <c r="N4" s="3" t="s">
        <v>1273</v>
      </c>
      <c r="O4" s="3" t="s">
        <v>1274</v>
      </c>
    </row>
    <row r="5" customFormat="false" ht="15" hidden="false" customHeight="false" outlineLevel="0" collapsed="false">
      <c r="A5" s="4" t="s">
        <v>601</v>
      </c>
      <c r="B5" s="4" t="s">
        <v>1275</v>
      </c>
      <c r="C5" s="4" t="s">
        <v>93</v>
      </c>
      <c r="D5" s="4"/>
      <c r="E5" s="4" t="s">
        <v>1276</v>
      </c>
      <c r="F5" s="4" t="s">
        <v>1277</v>
      </c>
      <c r="G5" s="4"/>
      <c r="H5" s="4" t="s">
        <v>1278</v>
      </c>
      <c r="I5" s="4"/>
      <c r="J5" s="4" t="s">
        <v>1087</v>
      </c>
      <c r="K5" s="4" t="s">
        <v>4</v>
      </c>
      <c r="L5" s="4" t="s">
        <v>9</v>
      </c>
      <c r="M5" s="4"/>
      <c r="N5" s="4" t="s">
        <v>214</v>
      </c>
      <c r="O5" s="4"/>
    </row>
    <row r="6" customFormat="false" ht="15" hidden="false" customHeight="false" outlineLevel="0" collapsed="false">
      <c r="A6" s="4" t="s">
        <v>601</v>
      </c>
      <c r="B6" s="4" t="s">
        <v>1275</v>
      </c>
      <c r="C6" s="4" t="s">
        <v>93</v>
      </c>
      <c r="D6" s="4"/>
      <c r="E6" s="4" t="s">
        <v>1276</v>
      </c>
      <c r="F6" s="4" t="s">
        <v>1277</v>
      </c>
      <c r="G6" s="4"/>
      <c r="H6" s="4" t="s">
        <v>1278</v>
      </c>
      <c r="I6" s="4"/>
      <c r="J6" s="4" t="s">
        <v>1089</v>
      </c>
      <c r="K6" s="4" t="s">
        <v>23</v>
      </c>
      <c r="L6" s="4" t="s">
        <v>1276</v>
      </c>
      <c r="M6" s="4"/>
      <c r="N6" s="4" t="s">
        <v>214</v>
      </c>
      <c r="O6" s="4"/>
    </row>
    <row r="7" customFormat="false" ht="15" hidden="false" customHeight="false" outlineLevel="0" collapsed="false">
      <c r="A7" s="4" t="s">
        <v>601</v>
      </c>
      <c r="B7" s="4" t="s">
        <v>1275</v>
      </c>
      <c r="C7" s="4" t="s">
        <v>93</v>
      </c>
      <c r="D7" s="4"/>
      <c r="E7" s="4" t="s">
        <v>1276</v>
      </c>
      <c r="F7" s="4" t="s">
        <v>1277</v>
      </c>
      <c r="G7" s="4"/>
      <c r="H7" s="4" t="s">
        <v>1278</v>
      </c>
      <c r="I7" s="4"/>
      <c r="J7" s="4" t="s">
        <v>718</v>
      </c>
      <c r="K7" s="4" t="s">
        <v>1091</v>
      </c>
      <c r="L7" s="4" t="s">
        <v>1279</v>
      </c>
      <c r="M7" s="4" t="s">
        <v>238</v>
      </c>
      <c r="N7" s="4" t="s">
        <v>214</v>
      </c>
      <c r="O7" s="4"/>
    </row>
    <row r="8" customFormat="false" ht="15" hidden="false" customHeight="false" outlineLevel="0" collapsed="false">
      <c r="A8" s="4" t="s">
        <v>601</v>
      </c>
      <c r="B8" s="4" t="s">
        <v>1275</v>
      </c>
      <c r="C8" s="4" t="s">
        <v>93</v>
      </c>
      <c r="D8" s="4"/>
      <c r="E8" s="4" t="s">
        <v>1276</v>
      </c>
      <c r="F8" s="4" t="s">
        <v>1277</v>
      </c>
      <c r="G8" s="4"/>
      <c r="H8" s="4" t="s">
        <v>1278</v>
      </c>
      <c r="I8" s="4"/>
      <c r="J8" s="4" t="s">
        <v>1092</v>
      </c>
      <c r="K8" s="4" t="s">
        <v>1093</v>
      </c>
      <c r="L8" s="4" t="s">
        <v>1280</v>
      </c>
      <c r="M8" s="4" t="s">
        <v>238</v>
      </c>
      <c r="N8" s="4" t="s">
        <v>214</v>
      </c>
      <c r="O8" s="4"/>
    </row>
    <row r="9" customFormat="false" ht="35.05" hidden="false" customHeight="false" outlineLevel="0" collapsed="false">
      <c r="A9" s="4" t="s">
        <v>601</v>
      </c>
      <c r="B9" s="4" t="s">
        <v>1275</v>
      </c>
      <c r="C9" s="4" t="s">
        <v>93</v>
      </c>
      <c r="D9" s="4"/>
      <c r="E9" s="4" t="s">
        <v>1276</v>
      </c>
      <c r="F9" s="4" t="s">
        <v>1277</v>
      </c>
      <c r="G9" s="4"/>
      <c r="H9" s="4" t="s">
        <v>1278</v>
      </c>
      <c r="I9" s="4"/>
      <c r="J9" s="4" t="s">
        <v>1094</v>
      </c>
      <c r="K9" s="4" t="s">
        <v>1095</v>
      </c>
      <c r="L9" s="4" t="s">
        <v>1281</v>
      </c>
      <c r="M9" s="4"/>
      <c r="N9" s="4" t="s">
        <v>214</v>
      </c>
      <c r="O9" s="4"/>
    </row>
    <row r="10" customFormat="false" ht="15" hidden="false" customHeight="false" outlineLevel="0" collapsed="false">
      <c r="A10" s="4" t="s">
        <v>601</v>
      </c>
      <c r="B10" s="4" t="s">
        <v>1275</v>
      </c>
      <c r="C10" s="4" t="s">
        <v>93</v>
      </c>
      <c r="D10" s="4"/>
      <c r="E10" s="4" t="s">
        <v>1276</v>
      </c>
      <c r="F10" s="4" t="s">
        <v>1277</v>
      </c>
      <c r="G10" s="4"/>
      <c r="H10" s="4" t="s">
        <v>1278</v>
      </c>
      <c r="I10" s="4"/>
      <c r="J10" s="4" t="s">
        <v>1096</v>
      </c>
      <c r="K10" s="4" t="s">
        <v>1097</v>
      </c>
      <c r="L10" s="4" t="s">
        <v>1282</v>
      </c>
      <c r="M10" s="4"/>
      <c r="N10" s="4" t="s">
        <v>214</v>
      </c>
      <c r="O10" s="4" t="s">
        <v>1283</v>
      </c>
    </row>
    <row r="11" customFormat="false" ht="15" hidden="false" customHeight="false" outlineLevel="0" collapsed="false">
      <c r="A11" s="4" t="s">
        <v>601</v>
      </c>
      <c r="B11" s="4" t="s">
        <v>1275</v>
      </c>
      <c r="C11" s="4" t="s">
        <v>93</v>
      </c>
      <c r="D11" s="4"/>
      <c r="E11" s="4" t="s">
        <v>1276</v>
      </c>
      <c r="F11" s="4" t="s">
        <v>1277</v>
      </c>
      <c r="G11" s="4"/>
      <c r="H11" s="4" t="s">
        <v>1278</v>
      </c>
      <c r="I11" s="4"/>
      <c r="J11" s="4" t="s">
        <v>1099</v>
      </c>
      <c r="K11" s="4" t="s">
        <v>1100</v>
      </c>
      <c r="L11" s="4" t="s">
        <v>1284</v>
      </c>
      <c r="M11" s="4" t="s">
        <v>706</v>
      </c>
      <c r="N11" s="4" t="s">
        <v>214</v>
      </c>
      <c r="O11" s="4"/>
    </row>
    <row r="12" customFormat="false" ht="15" hidden="false" customHeight="false" outlineLevel="0" collapsed="false">
      <c r="A12" s="4" t="s">
        <v>601</v>
      </c>
      <c r="B12" s="4" t="s">
        <v>1275</v>
      </c>
      <c r="C12" s="4" t="s">
        <v>93</v>
      </c>
      <c r="D12" s="4"/>
      <c r="E12" s="4" t="s">
        <v>1276</v>
      </c>
      <c r="F12" s="4" t="s">
        <v>1277</v>
      </c>
      <c r="G12" s="4"/>
      <c r="H12" s="4" t="s">
        <v>1278</v>
      </c>
      <c r="I12" s="4"/>
      <c r="J12" s="4" t="s">
        <v>1101</v>
      </c>
      <c r="K12" s="4" t="s">
        <v>1102</v>
      </c>
      <c r="L12" s="4" t="s">
        <v>1284</v>
      </c>
      <c r="M12" s="4"/>
      <c r="N12" s="4" t="s">
        <v>214</v>
      </c>
      <c r="O12" s="4"/>
    </row>
    <row r="13" customFormat="false" ht="46.25" hidden="false" customHeight="false" outlineLevel="0" collapsed="false">
      <c r="A13" s="4" t="s">
        <v>601</v>
      </c>
      <c r="B13" s="4" t="s">
        <v>1275</v>
      </c>
      <c r="C13" s="4" t="s">
        <v>93</v>
      </c>
      <c r="D13" s="4"/>
      <c r="E13" s="4" t="s">
        <v>1276</v>
      </c>
      <c r="F13" s="4" t="s">
        <v>1277</v>
      </c>
      <c r="G13" s="4"/>
      <c r="H13" s="4" t="s">
        <v>1278</v>
      </c>
      <c r="I13" s="4"/>
      <c r="J13" s="4" t="s">
        <v>1103</v>
      </c>
      <c r="K13" s="4" t="s">
        <v>1104</v>
      </c>
      <c r="L13" s="4" t="s">
        <v>1285</v>
      </c>
      <c r="M13" s="4"/>
      <c r="N13" s="4" t="s">
        <v>214</v>
      </c>
      <c r="O13" s="4"/>
    </row>
    <row r="14" customFormat="false" ht="15" hidden="false" customHeight="false" outlineLevel="0" collapsed="false">
      <c r="A14" s="4" t="s">
        <v>601</v>
      </c>
      <c r="B14" s="4" t="s">
        <v>1275</v>
      </c>
      <c r="C14" s="4" t="s">
        <v>93</v>
      </c>
      <c r="D14" s="4"/>
      <c r="E14" s="4" t="s">
        <v>1276</v>
      </c>
      <c r="F14" s="4" t="s">
        <v>1277</v>
      </c>
      <c r="G14" s="4"/>
      <c r="H14" s="4" t="s">
        <v>839</v>
      </c>
      <c r="I14" s="4"/>
      <c r="J14" s="4" t="s">
        <v>1106</v>
      </c>
      <c r="K14" s="4" t="s">
        <v>1107</v>
      </c>
      <c r="L14" s="4" t="s">
        <v>1286</v>
      </c>
      <c r="M14" s="4"/>
      <c r="N14" s="4" t="s">
        <v>227</v>
      </c>
      <c r="O14" s="4"/>
    </row>
    <row r="15" customFormat="false" ht="15" hidden="false" customHeight="false" outlineLevel="0" collapsed="false">
      <c r="A15" s="4" t="s">
        <v>601</v>
      </c>
      <c r="B15" s="4" t="s">
        <v>1275</v>
      </c>
      <c r="C15" s="4" t="s">
        <v>93</v>
      </c>
      <c r="D15" s="4"/>
      <c r="E15" s="4" t="s">
        <v>1276</v>
      </c>
      <c r="F15" s="4" t="s">
        <v>1277</v>
      </c>
      <c r="G15" s="4"/>
      <c r="H15" s="4" t="s">
        <v>839</v>
      </c>
      <c r="I15" s="4"/>
      <c r="J15" s="4" t="s">
        <v>839</v>
      </c>
      <c r="K15" s="4" t="s">
        <v>1108</v>
      </c>
      <c r="L15" s="4"/>
      <c r="M15" s="4"/>
      <c r="N15" s="4" t="s">
        <v>227</v>
      </c>
      <c r="O15" s="4"/>
    </row>
    <row r="16" customFormat="false" ht="15" hidden="false" customHeight="false" outlineLevel="0" collapsed="false">
      <c r="A16" s="4" t="s">
        <v>601</v>
      </c>
      <c r="B16" s="4" t="s">
        <v>1275</v>
      </c>
      <c r="C16" s="4" t="s">
        <v>93</v>
      </c>
      <c r="D16" s="4"/>
      <c r="E16" s="4" t="s">
        <v>1276</v>
      </c>
      <c r="F16" s="4" t="s">
        <v>1277</v>
      </c>
      <c r="G16" s="4"/>
      <c r="H16" s="4" t="s">
        <v>839</v>
      </c>
      <c r="I16" s="4"/>
      <c r="J16" s="4" t="s">
        <v>1109</v>
      </c>
      <c r="K16" s="4" t="s">
        <v>1110</v>
      </c>
      <c r="L16" s="4"/>
      <c r="M16" s="4"/>
      <c r="N16" s="4" t="s">
        <v>227</v>
      </c>
      <c r="O16" s="4"/>
    </row>
    <row r="17" customFormat="false" ht="15" hidden="false" customHeight="false" outlineLevel="0" collapsed="false">
      <c r="A17" s="4" t="s">
        <v>601</v>
      </c>
      <c r="B17" s="4" t="s">
        <v>1275</v>
      </c>
      <c r="C17" s="4" t="s">
        <v>93</v>
      </c>
      <c r="D17" s="4"/>
      <c r="E17" s="4" t="s">
        <v>1276</v>
      </c>
      <c r="F17" s="4" t="s">
        <v>1277</v>
      </c>
      <c r="G17" s="4"/>
      <c r="H17" s="4" t="s">
        <v>839</v>
      </c>
      <c r="I17" s="4"/>
      <c r="J17" s="4" t="s">
        <v>1111</v>
      </c>
      <c r="K17" s="4" t="s">
        <v>1112</v>
      </c>
      <c r="L17" s="4"/>
      <c r="M17" s="4"/>
      <c r="N17" s="4" t="s">
        <v>227</v>
      </c>
      <c r="O17" s="4"/>
    </row>
    <row r="18" customFormat="false" ht="15" hidden="false" customHeight="false" outlineLevel="0" collapsed="false">
      <c r="A18" s="4" t="s">
        <v>601</v>
      </c>
      <c r="B18" s="4" t="s">
        <v>1275</v>
      </c>
      <c r="C18" s="4" t="s">
        <v>93</v>
      </c>
      <c r="D18" s="4"/>
      <c r="E18" s="4" t="s">
        <v>1276</v>
      </c>
      <c r="F18" s="4" t="s">
        <v>1277</v>
      </c>
      <c r="G18" s="4"/>
      <c r="H18" s="4" t="s">
        <v>839</v>
      </c>
      <c r="I18" s="4"/>
      <c r="J18" s="4" t="s">
        <v>1113</v>
      </c>
      <c r="K18" s="4" t="s">
        <v>1114</v>
      </c>
      <c r="L18" s="4"/>
      <c r="M18" s="4"/>
      <c r="N18" s="4" t="s">
        <v>227</v>
      </c>
      <c r="O18" s="4"/>
    </row>
    <row r="19" customFormat="false" ht="15" hidden="false" customHeight="false" outlineLevel="0" collapsed="false">
      <c r="A19" s="4" t="s">
        <v>139</v>
      </c>
      <c r="B19" s="4" t="s">
        <v>1287</v>
      </c>
      <c r="C19" s="4" t="s">
        <v>133</v>
      </c>
      <c r="D19" s="4" t="s">
        <v>1288</v>
      </c>
      <c r="E19" s="4" t="s">
        <v>1289</v>
      </c>
      <c r="F19" s="4" t="s">
        <v>1290</v>
      </c>
      <c r="G19" s="4" t="s">
        <v>39</v>
      </c>
      <c r="H19" s="4" t="s">
        <v>1291</v>
      </c>
      <c r="I19" s="4"/>
      <c r="J19" s="4" t="s">
        <v>763</v>
      </c>
      <c r="K19" s="4" t="s">
        <v>764</v>
      </c>
      <c r="L19" s="4" t="s">
        <v>1292</v>
      </c>
      <c r="M19" s="4"/>
      <c r="N19" s="4" t="s">
        <v>214</v>
      </c>
      <c r="O19" s="4"/>
    </row>
    <row r="20" customFormat="false" ht="15" hidden="false" customHeight="false" outlineLevel="0" collapsed="false">
      <c r="A20" s="4" t="s">
        <v>139</v>
      </c>
      <c r="B20" s="4" t="s">
        <v>1287</v>
      </c>
      <c r="C20" s="4" t="s">
        <v>133</v>
      </c>
      <c r="D20" s="4" t="s">
        <v>1288</v>
      </c>
      <c r="E20" s="4" t="s">
        <v>1289</v>
      </c>
      <c r="F20" s="4" t="s">
        <v>1290</v>
      </c>
      <c r="G20" s="4" t="s">
        <v>39</v>
      </c>
      <c r="H20" s="4" t="s">
        <v>1291</v>
      </c>
      <c r="I20" s="4"/>
      <c r="J20" s="4" t="s">
        <v>626</v>
      </c>
      <c r="K20" s="4" t="s">
        <v>766</v>
      </c>
      <c r="L20" s="4" t="s">
        <v>1288</v>
      </c>
      <c r="M20" s="4"/>
      <c r="N20" s="4" t="s">
        <v>630</v>
      </c>
      <c r="O20" s="4"/>
    </row>
    <row r="21" customFormat="false" ht="23.85" hidden="false" customHeight="false" outlineLevel="0" collapsed="false">
      <c r="A21" s="4" t="s">
        <v>139</v>
      </c>
      <c r="B21" s="4" t="s">
        <v>1287</v>
      </c>
      <c r="C21" s="4" t="s">
        <v>133</v>
      </c>
      <c r="D21" s="4" t="s">
        <v>1288</v>
      </c>
      <c r="E21" s="4" t="s">
        <v>1289</v>
      </c>
      <c r="F21" s="4" t="s">
        <v>1290</v>
      </c>
      <c r="G21" s="4" t="s">
        <v>39</v>
      </c>
      <c r="H21" s="4" t="s">
        <v>1291</v>
      </c>
      <c r="I21" s="4"/>
      <c r="J21" s="4" t="s">
        <v>633</v>
      </c>
      <c r="K21" s="4" t="s">
        <v>768</v>
      </c>
      <c r="L21" s="4" t="s">
        <v>1293</v>
      </c>
      <c r="M21" s="4"/>
      <c r="N21" s="4" t="s">
        <v>630</v>
      </c>
      <c r="O21" s="4"/>
    </row>
    <row r="22" customFormat="false" ht="15" hidden="false" customHeight="false" outlineLevel="0" collapsed="false">
      <c r="A22" s="4" t="s">
        <v>139</v>
      </c>
      <c r="B22" s="4" t="s">
        <v>1287</v>
      </c>
      <c r="C22" s="4" t="s">
        <v>133</v>
      </c>
      <c r="D22" s="4" t="s">
        <v>1288</v>
      </c>
      <c r="E22" s="4" t="s">
        <v>1289</v>
      </c>
      <c r="F22" s="4" t="s">
        <v>1290</v>
      </c>
      <c r="G22" s="4" t="s">
        <v>39</v>
      </c>
      <c r="H22" s="4" t="s">
        <v>1291</v>
      </c>
      <c r="I22" s="4"/>
      <c r="J22" s="4" t="s">
        <v>769</v>
      </c>
      <c r="K22" s="4" t="s">
        <v>770</v>
      </c>
      <c r="L22" s="4" t="s">
        <v>1294</v>
      </c>
      <c r="M22" s="4" t="s">
        <v>706</v>
      </c>
      <c r="N22" s="4" t="s">
        <v>705</v>
      </c>
      <c r="O22" s="4"/>
    </row>
    <row r="23" customFormat="false" ht="15" hidden="false" customHeight="false" outlineLevel="0" collapsed="false">
      <c r="A23" s="4" t="s">
        <v>139</v>
      </c>
      <c r="B23" s="4" t="s">
        <v>1287</v>
      </c>
      <c r="C23" s="4" t="s">
        <v>133</v>
      </c>
      <c r="D23" s="4" t="s">
        <v>1288</v>
      </c>
      <c r="E23" s="4" t="s">
        <v>1289</v>
      </c>
      <c r="F23" s="4" t="s">
        <v>1290</v>
      </c>
      <c r="G23" s="4" t="s">
        <v>39</v>
      </c>
      <c r="H23" s="4" t="s">
        <v>1295</v>
      </c>
      <c r="I23" s="4"/>
      <c r="J23" s="4" t="s">
        <v>772</v>
      </c>
      <c r="K23" s="4" t="s">
        <v>773</v>
      </c>
      <c r="L23" s="4" t="s">
        <v>1296</v>
      </c>
      <c r="M23" s="4" t="s">
        <v>774</v>
      </c>
      <c r="N23" s="4" t="s">
        <v>214</v>
      </c>
      <c r="O23" s="4"/>
    </row>
    <row r="24" customFormat="false" ht="15" hidden="false" customHeight="false" outlineLevel="0" collapsed="false">
      <c r="A24" s="4" t="s">
        <v>139</v>
      </c>
      <c r="B24" s="4" t="s">
        <v>1287</v>
      </c>
      <c r="C24" s="4" t="s">
        <v>133</v>
      </c>
      <c r="D24" s="4" t="s">
        <v>1288</v>
      </c>
      <c r="E24" s="4" t="s">
        <v>1289</v>
      </c>
      <c r="F24" s="4" t="s">
        <v>1290</v>
      </c>
      <c r="G24" s="4" t="s">
        <v>39</v>
      </c>
      <c r="H24" s="4" t="s">
        <v>1295</v>
      </c>
      <c r="I24" s="4"/>
      <c r="J24" s="4" t="s">
        <v>776</v>
      </c>
      <c r="K24" s="4" t="s">
        <v>777</v>
      </c>
      <c r="L24" s="4" t="s">
        <v>1297</v>
      </c>
      <c r="M24" s="4" t="s">
        <v>774</v>
      </c>
      <c r="N24" s="4" t="s">
        <v>227</v>
      </c>
      <c r="O24" s="4"/>
    </row>
    <row r="25" customFormat="false" ht="15" hidden="false" customHeight="false" outlineLevel="0" collapsed="false">
      <c r="A25" s="4" t="s">
        <v>139</v>
      </c>
      <c r="B25" s="4" t="s">
        <v>1287</v>
      </c>
      <c r="C25" s="4" t="s">
        <v>133</v>
      </c>
      <c r="D25" s="4" t="s">
        <v>1288</v>
      </c>
      <c r="E25" s="4" t="s">
        <v>1289</v>
      </c>
      <c r="F25" s="4" t="s">
        <v>1290</v>
      </c>
      <c r="G25" s="4" t="s">
        <v>39</v>
      </c>
      <c r="H25" s="4" t="s">
        <v>1298</v>
      </c>
      <c r="I25" s="4" t="n">
        <v>2</v>
      </c>
      <c r="J25" s="4" t="s">
        <v>781</v>
      </c>
      <c r="K25" s="4" t="s">
        <v>782</v>
      </c>
      <c r="L25" s="4" t="s">
        <v>1282</v>
      </c>
      <c r="M25" s="4"/>
      <c r="N25" s="4" t="s">
        <v>214</v>
      </c>
      <c r="O25" s="4"/>
    </row>
    <row r="26" customFormat="false" ht="15" hidden="false" customHeight="false" outlineLevel="0" collapsed="false">
      <c r="A26" s="4" t="s">
        <v>139</v>
      </c>
      <c r="B26" s="4" t="s">
        <v>1287</v>
      </c>
      <c r="C26" s="4" t="s">
        <v>133</v>
      </c>
      <c r="D26" s="4" t="s">
        <v>1288</v>
      </c>
      <c r="E26" s="4" t="s">
        <v>1289</v>
      </c>
      <c r="F26" s="4" t="s">
        <v>1290</v>
      </c>
      <c r="G26" s="4" t="s">
        <v>39</v>
      </c>
      <c r="H26" s="4" t="s">
        <v>1298</v>
      </c>
      <c r="I26" s="4" t="n">
        <v>2</v>
      </c>
      <c r="J26" s="4" t="s">
        <v>784</v>
      </c>
      <c r="K26" s="4" t="s">
        <v>785</v>
      </c>
      <c r="L26" s="4" t="s">
        <v>1299</v>
      </c>
      <c r="M26" s="4" t="s">
        <v>184</v>
      </c>
      <c r="N26" s="4" t="s">
        <v>185</v>
      </c>
      <c r="O26" s="4"/>
    </row>
    <row r="27" customFormat="false" ht="15" hidden="false" customHeight="false" outlineLevel="0" collapsed="false">
      <c r="A27" s="4" t="s">
        <v>139</v>
      </c>
      <c r="B27" s="4" t="s">
        <v>1287</v>
      </c>
      <c r="C27" s="4" t="s">
        <v>133</v>
      </c>
      <c r="D27" s="4" t="s">
        <v>1288</v>
      </c>
      <c r="E27" s="4" t="s">
        <v>1289</v>
      </c>
      <c r="F27" s="4" t="s">
        <v>1290</v>
      </c>
      <c r="G27" s="4" t="s">
        <v>39</v>
      </c>
      <c r="H27" s="4" t="s">
        <v>1298</v>
      </c>
      <c r="I27" s="4" t="n">
        <v>2</v>
      </c>
      <c r="J27" s="4" t="s">
        <v>786</v>
      </c>
      <c r="K27" s="4" t="s">
        <v>787</v>
      </c>
      <c r="L27" s="4" t="s">
        <v>1300</v>
      </c>
      <c r="M27" s="4"/>
      <c r="N27" s="4" t="s">
        <v>214</v>
      </c>
      <c r="O27" s="4"/>
    </row>
    <row r="28" customFormat="false" ht="15" hidden="false" customHeight="false" outlineLevel="0" collapsed="false">
      <c r="A28" s="4" t="s">
        <v>139</v>
      </c>
      <c r="B28" s="4" t="s">
        <v>1287</v>
      </c>
      <c r="C28" s="4" t="s">
        <v>133</v>
      </c>
      <c r="D28" s="4" t="s">
        <v>1288</v>
      </c>
      <c r="E28" s="4" t="s">
        <v>1289</v>
      </c>
      <c r="F28" s="4" t="s">
        <v>1290</v>
      </c>
      <c r="G28" s="4" t="s">
        <v>39</v>
      </c>
      <c r="H28" s="4" t="s">
        <v>1298</v>
      </c>
      <c r="I28" s="4" t="n">
        <v>2</v>
      </c>
      <c r="J28" s="4" t="s">
        <v>788</v>
      </c>
      <c r="K28" s="4" t="s">
        <v>789</v>
      </c>
      <c r="L28" s="4" t="s">
        <v>1300</v>
      </c>
      <c r="M28" s="4"/>
      <c r="N28" s="4" t="s">
        <v>214</v>
      </c>
      <c r="O28" s="4"/>
    </row>
    <row r="29" customFormat="false" ht="15" hidden="false" customHeight="false" outlineLevel="0" collapsed="false">
      <c r="A29" s="4" t="s">
        <v>139</v>
      </c>
      <c r="B29" s="4" t="s">
        <v>1287</v>
      </c>
      <c r="C29" s="4" t="s">
        <v>133</v>
      </c>
      <c r="D29" s="4" t="s">
        <v>1288</v>
      </c>
      <c r="E29" s="4" t="s">
        <v>1289</v>
      </c>
      <c r="F29" s="4" t="s">
        <v>1290</v>
      </c>
      <c r="G29" s="4" t="s">
        <v>39</v>
      </c>
      <c r="H29" s="4" t="s">
        <v>1298</v>
      </c>
      <c r="I29" s="4" t="n">
        <v>2</v>
      </c>
      <c r="J29" s="4" t="s">
        <v>790</v>
      </c>
      <c r="K29" s="4" t="s">
        <v>791</v>
      </c>
      <c r="L29" s="4" t="s">
        <v>1301</v>
      </c>
      <c r="M29" s="4"/>
      <c r="N29" s="4" t="s">
        <v>185</v>
      </c>
      <c r="O29" s="4"/>
    </row>
    <row r="30" customFormat="false" ht="15" hidden="false" customHeight="false" outlineLevel="0" collapsed="false">
      <c r="A30" s="4" t="s">
        <v>139</v>
      </c>
      <c r="B30" s="4" t="s">
        <v>1287</v>
      </c>
      <c r="C30" s="4" t="s">
        <v>133</v>
      </c>
      <c r="D30" s="4" t="s">
        <v>1288</v>
      </c>
      <c r="E30" s="4" t="s">
        <v>1289</v>
      </c>
      <c r="F30" s="4" t="s">
        <v>1290</v>
      </c>
      <c r="G30" s="4" t="s">
        <v>39</v>
      </c>
      <c r="H30" s="4" t="s">
        <v>1298</v>
      </c>
      <c r="I30" s="4" t="n">
        <v>2</v>
      </c>
      <c r="J30" s="4" t="s">
        <v>794</v>
      </c>
      <c r="K30" s="4" t="s">
        <v>795</v>
      </c>
      <c r="L30" s="4" t="s">
        <v>1302</v>
      </c>
      <c r="M30" s="4"/>
      <c r="N30" s="4" t="s">
        <v>214</v>
      </c>
      <c r="O30" s="4"/>
    </row>
    <row r="31" customFormat="false" ht="15" hidden="false" customHeight="false" outlineLevel="0" collapsed="false">
      <c r="A31" s="4" t="s">
        <v>139</v>
      </c>
      <c r="B31" s="4" t="s">
        <v>1287</v>
      </c>
      <c r="C31" s="4" t="s">
        <v>133</v>
      </c>
      <c r="D31" s="4" t="s">
        <v>1288</v>
      </c>
      <c r="E31" s="4" t="s">
        <v>1289</v>
      </c>
      <c r="F31" s="4" t="s">
        <v>1290</v>
      </c>
      <c r="G31" s="4" t="s">
        <v>39</v>
      </c>
      <c r="H31" s="4" t="s">
        <v>1298</v>
      </c>
      <c r="I31" s="4" t="n">
        <v>2</v>
      </c>
      <c r="J31" s="4" t="s">
        <v>796</v>
      </c>
      <c r="K31" s="4" t="s">
        <v>797</v>
      </c>
      <c r="L31" s="4" t="s">
        <v>1303</v>
      </c>
      <c r="M31" s="4"/>
      <c r="N31" s="4" t="s">
        <v>214</v>
      </c>
      <c r="O31" s="4"/>
    </row>
    <row r="32" customFormat="false" ht="15" hidden="false" customHeight="false" outlineLevel="0" collapsed="false">
      <c r="A32" s="4" t="s">
        <v>139</v>
      </c>
      <c r="B32" s="4" t="s">
        <v>1287</v>
      </c>
      <c r="C32" s="4" t="s">
        <v>133</v>
      </c>
      <c r="D32" s="4" t="s">
        <v>1288</v>
      </c>
      <c r="E32" s="4" t="s">
        <v>1289</v>
      </c>
      <c r="F32" s="4" t="s">
        <v>1290</v>
      </c>
      <c r="G32" s="4" t="s">
        <v>39</v>
      </c>
      <c r="H32" s="4" t="s">
        <v>1298</v>
      </c>
      <c r="I32" s="4" t="n">
        <v>2</v>
      </c>
      <c r="J32" s="4" t="s">
        <v>212</v>
      </c>
      <c r="K32" s="4" t="s">
        <v>798</v>
      </c>
      <c r="L32" s="4" t="s">
        <v>1304</v>
      </c>
      <c r="M32" s="4" t="s">
        <v>184</v>
      </c>
      <c r="N32" s="4" t="s">
        <v>214</v>
      </c>
      <c r="O32" s="4"/>
    </row>
    <row r="33" customFormat="false" ht="23.85" hidden="false" customHeight="false" outlineLevel="0" collapsed="false">
      <c r="A33" s="4" t="s">
        <v>139</v>
      </c>
      <c r="B33" s="4" t="s">
        <v>1287</v>
      </c>
      <c r="C33" s="4" t="s">
        <v>133</v>
      </c>
      <c r="D33" s="4" t="s">
        <v>1288</v>
      </c>
      <c r="E33" s="4" t="s">
        <v>1289</v>
      </c>
      <c r="F33" s="4" t="s">
        <v>1290</v>
      </c>
      <c r="G33" s="4" t="s">
        <v>39</v>
      </c>
      <c r="H33" s="4" t="s">
        <v>1298</v>
      </c>
      <c r="I33" s="4" t="n">
        <v>2</v>
      </c>
      <c r="J33" s="4" t="s">
        <v>801</v>
      </c>
      <c r="K33" s="4" t="s">
        <v>802</v>
      </c>
      <c r="L33" s="4" t="s">
        <v>1303</v>
      </c>
      <c r="M33" s="4"/>
      <c r="N33" s="4" t="s">
        <v>227</v>
      </c>
      <c r="O33" s="4"/>
    </row>
    <row r="34" customFormat="false" ht="15" hidden="false" customHeight="false" outlineLevel="0" collapsed="false">
      <c r="A34" s="4" t="s">
        <v>139</v>
      </c>
      <c r="B34" s="4" t="s">
        <v>1287</v>
      </c>
      <c r="C34" s="4" t="s">
        <v>133</v>
      </c>
      <c r="D34" s="4" t="s">
        <v>1288</v>
      </c>
      <c r="E34" s="4" t="s">
        <v>1289</v>
      </c>
      <c r="F34" s="4" t="s">
        <v>1290</v>
      </c>
      <c r="G34" s="4" t="s">
        <v>39</v>
      </c>
      <c r="H34" s="4" t="s">
        <v>1298</v>
      </c>
      <c r="I34" s="4" t="n">
        <v>2</v>
      </c>
      <c r="J34" s="4" t="s">
        <v>803</v>
      </c>
      <c r="K34" s="4" t="s">
        <v>804</v>
      </c>
      <c r="L34" s="4" t="s">
        <v>1305</v>
      </c>
      <c r="M34" s="4" t="s">
        <v>774</v>
      </c>
      <c r="N34" s="4" t="s">
        <v>227</v>
      </c>
      <c r="O34" s="4"/>
    </row>
    <row r="35" customFormat="false" ht="15" hidden="false" customHeight="false" outlineLevel="0" collapsed="false">
      <c r="A35" s="4" t="s">
        <v>139</v>
      </c>
      <c r="B35" s="4" t="s">
        <v>1287</v>
      </c>
      <c r="C35" s="4" t="s">
        <v>133</v>
      </c>
      <c r="D35" s="4" t="s">
        <v>1288</v>
      </c>
      <c r="E35" s="4" t="s">
        <v>1289</v>
      </c>
      <c r="F35" s="4" t="s">
        <v>1290</v>
      </c>
      <c r="G35" s="4" t="s">
        <v>39</v>
      </c>
      <c r="H35" s="4" t="s">
        <v>1298</v>
      </c>
      <c r="I35" s="4" t="n">
        <v>2</v>
      </c>
      <c r="J35" s="4" t="s">
        <v>805</v>
      </c>
      <c r="K35" s="4" t="s">
        <v>806</v>
      </c>
      <c r="L35" s="4" t="s">
        <v>1306</v>
      </c>
      <c r="M35" s="4"/>
      <c r="N35" s="4" t="s">
        <v>227</v>
      </c>
      <c r="O35" s="4"/>
    </row>
    <row r="36" customFormat="false" ht="15" hidden="false" customHeight="false" outlineLevel="0" collapsed="false">
      <c r="A36" s="4" t="s">
        <v>139</v>
      </c>
      <c r="B36" s="4" t="s">
        <v>1287</v>
      </c>
      <c r="C36" s="4" t="s">
        <v>133</v>
      </c>
      <c r="D36" s="4" t="s">
        <v>1288</v>
      </c>
      <c r="E36" s="4" t="s">
        <v>1289</v>
      </c>
      <c r="F36" s="4" t="s">
        <v>1290</v>
      </c>
      <c r="G36" s="4" t="s">
        <v>39</v>
      </c>
      <c r="H36" s="4" t="s">
        <v>1298</v>
      </c>
      <c r="I36" s="4" t="n">
        <v>2</v>
      </c>
      <c r="J36" s="4" t="s">
        <v>807</v>
      </c>
      <c r="K36" s="4" t="s">
        <v>808</v>
      </c>
      <c r="L36" s="4" t="s">
        <v>1305</v>
      </c>
      <c r="M36" s="4" t="s">
        <v>774</v>
      </c>
      <c r="N36" s="4" t="s">
        <v>227</v>
      </c>
      <c r="O36" s="4"/>
    </row>
    <row r="37" customFormat="false" ht="15" hidden="false" customHeight="false" outlineLevel="0" collapsed="false">
      <c r="A37" s="4" t="s">
        <v>139</v>
      </c>
      <c r="B37" s="4" t="s">
        <v>1287</v>
      </c>
      <c r="C37" s="4" t="s">
        <v>133</v>
      </c>
      <c r="D37" s="4" t="s">
        <v>1288</v>
      </c>
      <c r="E37" s="4" t="s">
        <v>1289</v>
      </c>
      <c r="F37" s="4" t="s">
        <v>1290</v>
      </c>
      <c r="G37" s="4" t="s">
        <v>39</v>
      </c>
      <c r="H37" s="4" t="s">
        <v>1298</v>
      </c>
      <c r="I37" s="4" t="n">
        <v>2</v>
      </c>
      <c r="J37" s="4" t="s">
        <v>809</v>
      </c>
      <c r="K37" s="4" t="s">
        <v>810</v>
      </c>
      <c r="L37" s="4" t="s">
        <v>1307</v>
      </c>
      <c r="M37" s="4"/>
      <c r="N37" s="4" t="s">
        <v>227</v>
      </c>
      <c r="O37" s="4"/>
    </row>
    <row r="38" customFormat="false" ht="15" hidden="false" customHeight="false" outlineLevel="0" collapsed="false">
      <c r="A38" s="4" t="s">
        <v>139</v>
      </c>
      <c r="B38" s="4" t="s">
        <v>1287</v>
      </c>
      <c r="C38" s="4" t="s">
        <v>133</v>
      </c>
      <c r="D38" s="4" t="s">
        <v>1288</v>
      </c>
      <c r="E38" s="4" t="s">
        <v>1289</v>
      </c>
      <c r="F38" s="4" t="s">
        <v>1290</v>
      </c>
      <c r="G38" s="4" t="s">
        <v>39</v>
      </c>
      <c r="H38" s="4" t="s">
        <v>1298</v>
      </c>
      <c r="I38" s="4" t="n">
        <v>2</v>
      </c>
      <c r="J38" s="4" t="s">
        <v>811</v>
      </c>
      <c r="K38" s="4" t="s">
        <v>812</v>
      </c>
      <c r="L38" s="4" t="s">
        <v>1305</v>
      </c>
      <c r="M38" s="4" t="s">
        <v>774</v>
      </c>
      <c r="N38" s="4" t="s">
        <v>227</v>
      </c>
      <c r="O38" s="4"/>
    </row>
    <row r="39" customFormat="false" ht="15" hidden="false" customHeight="false" outlineLevel="0" collapsed="false">
      <c r="A39" s="4" t="s">
        <v>139</v>
      </c>
      <c r="B39" s="4" t="s">
        <v>1287</v>
      </c>
      <c r="C39" s="4" t="s">
        <v>133</v>
      </c>
      <c r="D39" s="4" t="s">
        <v>1288</v>
      </c>
      <c r="E39" s="4" t="s">
        <v>1289</v>
      </c>
      <c r="F39" s="4" t="s">
        <v>1290</v>
      </c>
      <c r="G39" s="4" t="s">
        <v>39</v>
      </c>
      <c r="H39" s="4" t="s">
        <v>1298</v>
      </c>
      <c r="I39" s="4" t="n">
        <v>2</v>
      </c>
      <c r="J39" s="4" t="s">
        <v>813</v>
      </c>
      <c r="K39" s="4" t="s">
        <v>814</v>
      </c>
      <c r="L39" s="4" t="s">
        <v>1308</v>
      </c>
      <c r="M39" s="4"/>
      <c r="N39" s="4" t="s">
        <v>227</v>
      </c>
      <c r="O39" s="4"/>
    </row>
    <row r="40" customFormat="false" ht="15" hidden="false" customHeight="false" outlineLevel="0" collapsed="false">
      <c r="A40" s="4" t="s">
        <v>139</v>
      </c>
      <c r="B40" s="4" t="s">
        <v>1287</v>
      </c>
      <c r="C40" s="4" t="s">
        <v>133</v>
      </c>
      <c r="D40" s="4" t="s">
        <v>1288</v>
      </c>
      <c r="E40" s="4" t="s">
        <v>1289</v>
      </c>
      <c r="F40" s="4" t="s">
        <v>1290</v>
      </c>
      <c r="G40" s="4" t="s">
        <v>39</v>
      </c>
      <c r="H40" s="4" t="s">
        <v>1298</v>
      </c>
      <c r="I40" s="4" t="n">
        <v>2</v>
      </c>
      <c r="J40" s="4" t="s">
        <v>815</v>
      </c>
      <c r="K40" s="4" t="s">
        <v>816</v>
      </c>
      <c r="L40" s="4" t="s">
        <v>1309</v>
      </c>
      <c r="M40" s="4"/>
      <c r="N40" s="4" t="s">
        <v>227</v>
      </c>
      <c r="O40" s="4"/>
    </row>
    <row r="41" customFormat="false" ht="15" hidden="false" customHeight="false" outlineLevel="0" collapsed="false">
      <c r="A41" s="4" t="s">
        <v>139</v>
      </c>
      <c r="B41" s="4" t="s">
        <v>1287</v>
      </c>
      <c r="C41" s="4" t="s">
        <v>133</v>
      </c>
      <c r="D41" s="4" t="s">
        <v>1288</v>
      </c>
      <c r="E41" s="4" t="s">
        <v>1289</v>
      </c>
      <c r="F41" s="4" t="s">
        <v>1290</v>
      </c>
      <c r="G41" s="4" t="s">
        <v>39</v>
      </c>
      <c r="H41" s="4" t="s">
        <v>1298</v>
      </c>
      <c r="I41" s="4" t="n">
        <v>2</v>
      </c>
      <c r="J41" s="4" t="s">
        <v>817</v>
      </c>
      <c r="K41" s="4" t="s">
        <v>818</v>
      </c>
      <c r="L41" s="4" t="s">
        <v>1310</v>
      </c>
      <c r="M41" s="4"/>
      <c r="N41" s="4" t="s">
        <v>227</v>
      </c>
      <c r="O41" s="4"/>
    </row>
    <row r="42" customFormat="false" ht="15" hidden="false" customHeight="false" outlineLevel="0" collapsed="false">
      <c r="A42" s="4" t="s">
        <v>139</v>
      </c>
      <c r="B42" s="4" t="s">
        <v>1287</v>
      </c>
      <c r="C42" s="4" t="s">
        <v>133</v>
      </c>
      <c r="D42" s="4" t="s">
        <v>1288</v>
      </c>
      <c r="E42" s="4" t="s">
        <v>1289</v>
      </c>
      <c r="F42" s="4" t="s">
        <v>1290</v>
      </c>
      <c r="G42" s="4" t="s">
        <v>39</v>
      </c>
      <c r="H42" s="4" t="s">
        <v>1298</v>
      </c>
      <c r="I42" s="4" t="n">
        <v>2</v>
      </c>
      <c r="J42" s="4" t="s">
        <v>819</v>
      </c>
      <c r="K42" s="4" t="s">
        <v>820</v>
      </c>
      <c r="L42" s="4" t="s">
        <v>1311</v>
      </c>
      <c r="M42" s="4"/>
      <c r="N42" s="4" t="s">
        <v>227</v>
      </c>
      <c r="O42" s="4"/>
    </row>
    <row r="43" customFormat="false" ht="15" hidden="false" customHeight="false" outlineLevel="0" collapsed="false">
      <c r="A43" s="4" t="s">
        <v>139</v>
      </c>
      <c r="B43" s="4" t="s">
        <v>1287</v>
      </c>
      <c r="C43" s="4" t="s">
        <v>133</v>
      </c>
      <c r="D43" s="4" t="s">
        <v>1288</v>
      </c>
      <c r="E43" s="4" t="s">
        <v>1289</v>
      </c>
      <c r="F43" s="4" t="s">
        <v>1290</v>
      </c>
      <c r="G43" s="4" t="s">
        <v>39</v>
      </c>
      <c r="H43" s="4" t="s">
        <v>1298</v>
      </c>
      <c r="I43" s="4" t="n">
        <v>2</v>
      </c>
      <c r="J43" s="4" t="s">
        <v>821</v>
      </c>
      <c r="K43" s="4" t="s">
        <v>822</v>
      </c>
      <c r="L43" s="4" t="s">
        <v>1312</v>
      </c>
      <c r="M43" s="4"/>
      <c r="N43" s="4" t="s">
        <v>227</v>
      </c>
      <c r="O43" s="4"/>
    </row>
    <row r="44" customFormat="false" ht="15" hidden="false" customHeight="false" outlineLevel="0" collapsed="false">
      <c r="A44" s="4" t="s">
        <v>139</v>
      </c>
      <c r="B44" s="4" t="s">
        <v>1287</v>
      </c>
      <c r="C44" s="4" t="s">
        <v>133</v>
      </c>
      <c r="D44" s="4" t="s">
        <v>1288</v>
      </c>
      <c r="E44" s="4" t="s">
        <v>1289</v>
      </c>
      <c r="F44" s="4" t="s">
        <v>1290</v>
      </c>
      <c r="G44" s="4" t="s">
        <v>39</v>
      </c>
      <c r="H44" s="4" t="s">
        <v>1298</v>
      </c>
      <c r="I44" s="4" t="n">
        <v>2</v>
      </c>
      <c r="J44" s="4" t="s">
        <v>824</v>
      </c>
      <c r="K44" s="4" t="s">
        <v>825</v>
      </c>
      <c r="L44" s="4" t="s">
        <v>1313</v>
      </c>
      <c r="M44" s="4" t="s">
        <v>706</v>
      </c>
      <c r="N44" s="4" t="s">
        <v>705</v>
      </c>
      <c r="O44" s="4"/>
    </row>
    <row r="45" customFormat="false" ht="15" hidden="false" customHeight="false" outlineLevel="0" collapsed="false">
      <c r="A45" s="4" t="s">
        <v>139</v>
      </c>
      <c r="B45" s="4" t="s">
        <v>1287</v>
      </c>
      <c r="C45" s="4" t="s">
        <v>133</v>
      </c>
      <c r="D45" s="4" t="s">
        <v>1288</v>
      </c>
      <c r="E45" s="4" t="s">
        <v>1289</v>
      </c>
      <c r="F45" s="4" t="s">
        <v>1290</v>
      </c>
      <c r="G45" s="4" t="s">
        <v>39</v>
      </c>
      <c r="H45" s="4" t="s">
        <v>1298</v>
      </c>
      <c r="I45" s="4" t="n">
        <v>2</v>
      </c>
      <c r="J45" s="4" t="s">
        <v>826</v>
      </c>
      <c r="K45" s="4" t="s">
        <v>827</v>
      </c>
      <c r="L45" s="4" t="s">
        <v>1314</v>
      </c>
      <c r="M45" s="4" t="s">
        <v>241</v>
      </c>
      <c r="N45" s="4" t="s">
        <v>214</v>
      </c>
      <c r="O45" s="4"/>
    </row>
    <row r="46" customFormat="false" ht="15" hidden="false" customHeight="false" outlineLevel="0" collapsed="false">
      <c r="A46" s="4" t="s">
        <v>139</v>
      </c>
      <c r="B46" s="4" t="s">
        <v>1287</v>
      </c>
      <c r="C46" s="4" t="s">
        <v>133</v>
      </c>
      <c r="D46" s="4" t="s">
        <v>1288</v>
      </c>
      <c r="E46" s="4" t="s">
        <v>1289</v>
      </c>
      <c r="F46" s="4" t="s">
        <v>1290</v>
      </c>
      <c r="G46" s="4" t="s">
        <v>39</v>
      </c>
      <c r="H46" s="4" t="s">
        <v>1298</v>
      </c>
      <c r="I46" s="4" t="n">
        <v>2</v>
      </c>
      <c r="J46" s="4" t="s">
        <v>829</v>
      </c>
      <c r="K46" s="4" t="s">
        <v>830</v>
      </c>
      <c r="L46" s="4" t="s">
        <v>1315</v>
      </c>
      <c r="M46" s="4"/>
      <c r="N46" s="4" t="s">
        <v>227</v>
      </c>
      <c r="O46" s="4"/>
    </row>
    <row r="47" customFormat="false" ht="15" hidden="false" customHeight="false" outlineLevel="0" collapsed="false">
      <c r="A47" s="4" t="s">
        <v>139</v>
      </c>
      <c r="B47" s="4" t="s">
        <v>1287</v>
      </c>
      <c r="C47" s="4" t="s">
        <v>133</v>
      </c>
      <c r="D47" s="4" t="s">
        <v>1288</v>
      </c>
      <c r="E47" s="4" t="s">
        <v>1289</v>
      </c>
      <c r="F47" s="4" t="s">
        <v>1290</v>
      </c>
      <c r="G47" s="4" t="s">
        <v>39</v>
      </c>
      <c r="H47" s="4" t="s">
        <v>1298</v>
      </c>
      <c r="I47" s="4" t="n">
        <v>2</v>
      </c>
      <c r="J47" s="4" t="s">
        <v>832</v>
      </c>
      <c r="K47" s="4" t="s">
        <v>833</v>
      </c>
      <c r="L47" s="4" t="s">
        <v>1316</v>
      </c>
      <c r="M47" s="4"/>
      <c r="N47" s="4" t="s">
        <v>227</v>
      </c>
      <c r="O47" s="4"/>
    </row>
    <row r="48" customFormat="false" ht="15" hidden="false" customHeight="false" outlineLevel="0" collapsed="false">
      <c r="A48" s="4" t="s">
        <v>139</v>
      </c>
      <c r="B48" s="4" t="s">
        <v>1287</v>
      </c>
      <c r="C48" s="4" t="s">
        <v>133</v>
      </c>
      <c r="D48" s="4" t="s">
        <v>1288</v>
      </c>
      <c r="E48" s="4" t="s">
        <v>1289</v>
      </c>
      <c r="F48" s="4" t="s">
        <v>1290</v>
      </c>
      <c r="G48" s="4" t="s">
        <v>39</v>
      </c>
      <c r="H48" s="4" t="s">
        <v>1298</v>
      </c>
      <c r="I48" s="4" t="n">
        <v>2</v>
      </c>
      <c r="J48" s="4" t="s">
        <v>835</v>
      </c>
      <c r="K48" s="4" t="s">
        <v>836</v>
      </c>
      <c r="L48" s="4" t="s">
        <v>1317</v>
      </c>
      <c r="M48" s="4"/>
      <c r="N48" s="4" t="s">
        <v>227</v>
      </c>
      <c r="O48" s="4"/>
    </row>
    <row r="49" customFormat="false" ht="15" hidden="false" customHeight="false" outlineLevel="0" collapsed="false">
      <c r="A49" s="4" t="s">
        <v>139</v>
      </c>
      <c r="B49" s="4" t="s">
        <v>1287</v>
      </c>
      <c r="C49" s="4" t="s">
        <v>133</v>
      </c>
      <c r="D49" s="4" t="s">
        <v>1288</v>
      </c>
      <c r="E49" s="4" t="s">
        <v>1289</v>
      </c>
      <c r="F49" s="4" t="s">
        <v>1290</v>
      </c>
      <c r="G49" s="4" t="s">
        <v>39</v>
      </c>
      <c r="H49" s="4" t="s">
        <v>1298</v>
      </c>
      <c r="I49" s="4" t="n">
        <v>2</v>
      </c>
      <c r="J49" s="4" t="s">
        <v>699</v>
      </c>
      <c r="K49" s="4" t="s">
        <v>700</v>
      </c>
      <c r="L49" s="4" t="s">
        <v>39</v>
      </c>
      <c r="M49" s="4"/>
      <c r="N49" s="4" t="s">
        <v>227</v>
      </c>
      <c r="O49" s="4"/>
    </row>
    <row r="50" customFormat="false" ht="15" hidden="false" customHeight="false" outlineLevel="0" collapsed="false">
      <c r="A50" s="4" t="s">
        <v>139</v>
      </c>
      <c r="B50" s="4" t="s">
        <v>1287</v>
      </c>
      <c r="C50" s="4" t="s">
        <v>133</v>
      </c>
      <c r="D50" s="4" t="s">
        <v>1288</v>
      </c>
      <c r="E50" s="4" t="s">
        <v>1289</v>
      </c>
      <c r="F50" s="4" t="s">
        <v>1290</v>
      </c>
      <c r="G50" s="4" t="s">
        <v>39</v>
      </c>
      <c r="H50" s="4" t="s">
        <v>839</v>
      </c>
      <c r="I50" s="4"/>
      <c r="J50" s="4" t="s">
        <v>722</v>
      </c>
      <c r="K50" s="4" t="s">
        <v>723</v>
      </c>
      <c r="L50" s="4"/>
      <c r="M50" s="4"/>
      <c r="N50" s="4" t="s">
        <v>227</v>
      </c>
      <c r="O50" s="4"/>
    </row>
    <row r="51" customFormat="false" ht="15" hidden="false" customHeight="false" outlineLevel="0" collapsed="false">
      <c r="A51" s="4" t="s">
        <v>139</v>
      </c>
      <c r="B51" s="4" t="s">
        <v>1287</v>
      </c>
      <c r="C51" s="4" t="s">
        <v>133</v>
      </c>
      <c r="D51" s="4" t="s">
        <v>1288</v>
      </c>
      <c r="E51" s="4" t="s">
        <v>1289</v>
      </c>
      <c r="F51" s="4" t="s">
        <v>1290</v>
      </c>
      <c r="G51" s="4" t="s">
        <v>39</v>
      </c>
      <c r="H51" s="4" t="s">
        <v>839</v>
      </c>
      <c r="I51" s="4"/>
      <c r="J51" s="4" t="s">
        <v>839</v>
      </c>
      <c r="K51" s="4" t="s">
        <v>840</v>
      </c>
      <c r="L51" s="4"/>
      <c r="M51" s="4"/>
      <c r="N51" s="4" t="s">
        <v>227</v>
      </c>
      <c r="O51" s="4"/>
    </row>
    <row r="52" customFormat="false" ht="15" hidden="false" customHeight="false" outlineLevel="0" collapsed="false">
      <c r="A52" s="4" t="s">
        <v>73</v>
      </c>
      <c r="B52" s="4" t="s">
        <v>1318</v>
      </c>
      <c r="C52" s="4" t="s">
        <v>76</v>
      </c>
      <c r="D52" s="4" t="s">
        <v>1319</v>
      </c>
      <c r="E52" s="4" t="s">
        <v>1289</v>
      </c>
      <c r="F52" s="4" t="s">
        <v>1290</v>
      </c>
      <c r="G52" s="4" t="s">
        <v>38</v>
      </c>
      <c r="H52" s="4" t="s">
        <v>1291</v>
      </c>
      <c r="I52" s="4"/>
      <c r="J52" s="4" t="s">
        <v>902</v>
      </c>
      <c r="K52" s="4" t="s">
        <v>903</v>
      </c>
      <c r="L52" s="4" t="s">
        <v>1319</v>
      </c>
      <c r="M52" s="4"/>
      <c r="N52" s="4" t="s">
        <v>630</v>
      </c>
      <c r="O52" s="4"/>
    </row>
    <row r="53" customFormat="false" ht="15" hidden="false" customHeight="false" outlineLevel="0" collapsed="false">
      <c r="A53" s="4" t="s">
        <v>73</v>
      </c>
      <c r="B53" s="4" t="s">
        <v>1318</v>
      </c>
      <c r="C53" s="4" t="s">
        <v>76</v>
      </c>
      <c r="D53" s="4" t="s">
        <v>1319</v>
      </c>
      <c r="E53" s="4" t="s">
        <v>1289</v>
      </c>
      <c r="F53" s="4" t="s">
        <v>1290</v>
      </c>
      <c r="G53" s="4" t="s">
        <v>38</v>
      </c>
      <c r="H53" s="4" t="s">
        <v>1291</v>
      </c>
      <c r="I53" s="4"/>
      <c r="J53" s="4" t="s">
        <v>904</v>
      </c>
      <c r="K53" s="4" t="s">
        <v>905</v>
      </c>
      <c r="L53" s="4" t="s">
        <v>1320</v>
      </c>
      <c r="M53" s="4"/>
      <c r="N53" s="4" t="s">
        <v>214</v>
      </c>
      <c r="O53" s="4"/>
    </row>
    <row r="54" customFormat="false" ht="15" hidden="false" customHeight="false" outlineLevel="0" collapsed="false">
      <c r="A54" s="4" t="s">
        <v>73</v>
      </c>
      <c r="B54" s="4" t="s">
        <v>1318</v>
      </c>
      <c r="C54" s="4" t="s">
        <v>76</v>
      </c>
      <c r="D54" s="4" t="s">
        <v>1319</v>
      </c>
      <c r="E54" s="4" t="s">
        <v>1289</v>
      </c>
      <c r="F54" s="4" t="s">
        <v>1290</v>
      </c>
      <c r="G54" s="4" t="s">
        <v>38</v>
      </c>
      <c r="H54" s="4" t="s">
        <v>1291</v>
      </c>
      <c r="I54" s="4"/>
      <c r="J54" s="4" t="s">
        <v>907</v>
      </c>
      <c r="K54" s="4" t="s">
        <v>908</v>
      </c>
      <c r="L54" s="4" t="s">
        <v>1321</v>
      </c>
      <c r="M54" s="4"/>
      <c r="N54" s="4" t="s">
        <v>630</v>
      </c>
      <c r="O54" s="4"/>
    </row>
    <row r="55" customFormat="false" ht="15" hidden="false" customHeight="false" outlineLevel="0" collapsed="false">
      <c r="A55" s="4" t="s">
        <v>73</v>
      </c>
      <c r="B55" s="4" t="s">
        <v>1318</v>
      </c>
      <c r="C55" s="4" t="s">
        <v>76</v>
      </c>
      <c r="D55" s="4" t="s">
        <v>1319</v>
      </c>
      <c r="E55" s="4" t="s">
        <v>1289</v>
      </c>
      <c r="F55" s="4" t="s">
        <v>1290</v>
      </c>
      <c r="G55" s="4" t="s">
        <v>38</v>
      </c>
      <c r="H55" s="4" t="s">
        <v>1291</v>
      </c>
      <c r="I55" s="4"/>
      <c r="J55" s="4" t="s">
        <v>910</v>
      </c>
      <c r="K55" s="4" t="s">
        <v>911</v>
      </c>
      <c r="L55" s="4" t="s">
        <v>1322</v>
      </c>
      <c r="M55" s="4" t="s">
        <v>706</v>
      </c>
      <c r="N55" s="4" t="s">
        <v>705</v>
      </c>
      <c r="O55" s="4"/>
    </row>
    <row r="56" customFormat="false" ht="15" hidden="false" customHeight="false" outlineLevel="0" collapsed="false">
      <c r="A56" s="4" t="s">
        <v>73</v>
      </c>
      <c r="B56" s="4" t="s">
        <v>1318</v>
      </c>
      <c r="C56" s="4" t="s">
        <v>76</v>
      </c>
      <c r="D56" s="4" t="s">
        <v>1319</v>
      </c>
      <c r="E56" s="4" t="s">
        <v>1289</v>
      </c>
      <c r="F56" s="4" t="s">
        <v>1290</v>
      </c>
      <c r="G56" s="4" t="s">
        <v>38</v>
      </c>
      <c r="H56" s="4" t="s">
        <v>1323</v>
      </c>
      <c r="I56" s="4"/>
      <c r="J56" s="4" t="s">
        <v>913</v>
      </c>
      <c r="K56" s="4" t="s">
        <v>914</v>
      </c>
      <c r="L56" s="4" t="s">
        <v>1324</v>
      </c>
      <c r="M56" s="4"/>
      <c r="N56" s="4" t="s">
        <v>242</v>
      </c>
      <c r="O56" s="4"/>
    </row>
    <row r="57" customFormat="false" ht="15" hidden="false" customHeight="false" outlineLevel="0" collapsed="false">
      <c r="A57" s="4" t="s">
        <v>73</v>
      </c>
      <c r="B57" s="4" t="s">
        <v>1318</v>
      </c>
      <c r="C57" s="4" t="s">
        <v>76</v>
      </c>
      <c r="D57" s="4" t="s">
        <v>1319</v>
      </c>
      <c r="E57" s="4" t="s">
        <v>1289</v>
      </c>
      <c r="F57" s="4" t="s">
        <v>1290</v>
      </c>
      <c r="G57" s="4" t="s">
        <v>38</v>
      </c>
      <c r="H57" s="4" t="s">
        <v>1323</v>
      </c>
      <c r="I57" s="4"/>
      <c r="J57" s="4" t="s">
        <v>915</v>
      </c>
      <c r="K57" s="4" t="s">
        <v>916</v>
      </c>
      <c r="L57" s="4" t="s">
        <v>1325</v>
      </c>
      <c r="M57" s="4"/>
      <c r="N57" s="4" t="s">
        <v>242</v>
      </c>
      <c r="O57" s="4"/>
    </row>
    <row r="58" customFormat="false" ht="15" hidden="false" customHeight="false" outlineLevel="0" collapsed="false">
      <c r="A58" s="4" t="s">
        <v>73</v>
      </c>
      <c r="B58" s="4" t="s">
        <v>1318</v>
      </c>
      <c r="C58" s="4" t="s">
        <v>76</v>
      </c>
      <c r="D58" s="4" t="s">
        <v>1319</v>
      </c>
      <c r="E58" s="4" t="s">
        <v>1289</v>
      </c>
      <c r="F58" s="4" t="s">
        <v>1290</v>
      </c>
      <c r="G58" s="4" t="s">
        <v>38</v>
      </c>
      <c r="H58" s="4" t="s">
        <v>1323</v>
      </c>
      <c r="I58" s="4"/>
      <c r="J58" s="4" t="s">
        <v>917</v>
      </c>
      <c r="K58" s="4" t="s">
        <v>918</v>
      </c>
      <c r="L58" s="4" t="s">
        <v>1326</v>
      </c>
      <c r="M58" s="4"/>
      <c r="N58" s="4" t="s">
        <v>242</v>
      </c>
      <c r="O58" s="4"/>
    </row>
    <row r="59" customFormat="false" ht="15" hidden="false" customHeight="false" outlineLevel="0" collapsed="false">
      <c r="A59" s="4" t="s">
        <v>73</v>
      </c>
      <c r="B59" s="4" t="s">
        <v>1318</v>
      </c>
      <c r="C59" s="4" t="s">
        <v>76</v>
      </c>
      <c r="D59" s="4" t="s">
        <v>1319</v>
      </c>
      <c r="E59" s="4" t="s">
        <v>1289</v>
      </c>
      <c r="F59" s="4" t="s">
        <v>1290</v>
      </c>
      <c r="G59" s="4" t="s">
        <v>38</v>
      </c>
      <c r="H59" s="4" t="s">
        <v>1323</v>
      </c>
      <c r="I59" s="4"/>
      <c r="J59" s="4" t="s">
        <v>919</v>
      </c>
      <c r="K59" s="4" t="s">
        <v>920</v>
      </c>
      <c r="L59" s="4" t="s">
        <v>1327</v>
      </c>
      <c r="M59" s="4"/>
      <c r="N59" s="4" t="s">
        <v>242</v>
      </c>
      <c r="O59" s="4"/>
    </row>
    <row r="60" customFormat="false" ht="15" hidden="false" customHeight="false" outlineLevel="0" collapsed="false">
      <c r="A60" s="4" t="s">
        <v>73</v>
      </c>
      <c r="B60" s="4" t="s">
        <v>1318</v>
      </c>
      <c r="C60" s="4" t="s">
        <v>76</v>
      </c>
      <c r="D60" s="4" t="s">
        <v>1319</v>
      </c>
      <c r="E60" s="4" t="s">
        <v>1289</v>
      </c>
      <c r="F60" s="4" t="s">
        <v>1290</v>
      </c>
      <c r="G60" s="4" t="s">
        <v>38</v>
      </c>
      <c r="H60" s="4" t="s">
        <v>1323</v>
      </c>
      <c r="I60" s="4"/>
      <c r="J60" s="4" t="s">
        <v>921</v>
      </c>
      <c r="K60" s="4" t="s">
        <v>922</v>
      </c>
      <c r="L60" s="4" t="s">
        <v>1328</v>
      </c>
      <c r="M60" s="4"/>
      <c r="N60" s="4" t="s">
        <v>242</v>
      </c>
      <c r="O60" s="4"/>
    </row>
    <row r="61" customFormat="false" ht="15" hidden="false" customHeight="false" outlineLevel="0" collapsed="false">
      <c r="A61" s="4" t="s">
        <v>73</v>
      </c>
      <c r="B61" s="4" t="s">
        <v>1318</v>
      </c>
      <c r="C61" s="4" t="s">
        <v>76</v>
      </c>
      <c r="D61" s="4" t="s">
        <v>1319</v>
      </c>
      <c r="E61" s="4" t="s">
        <v>1289</v>
      </c>
      <c r="F61" s="4" t="s">
        <v>1290</v>
      </c>
      <c r="G61" s="4" t="s">
        <v>38</v>
      </c>
      <c r="H61" s="4" t="s">
        <v>1323</v>
      </c>
      <c r="I61" s="4"/>
      <c r="J61" s="4" t="s">
        <v>923</v>
      </c>
      <c r="K61" s="4" t="s">
        <v>924</v>
      </c>
      <c r="L61" s="4" t="s">
        <v>1329</v>
      </c>
      <c r="M61" s="4" t="s">
        <v>238</v>
      </c>
      <c r="N61" s="4" t="s">
        <v>214</v>
      </c>
      <c r="O61" s="4"/>
    </row>
    <row r="62" customFormat="false" ht="15" hidden="false" customHeight="false" outlineLevel="0" collapsed="false">
      <c r="A62" s="4" t="s">
        <v>73</v>
      </c>
      <c r="B62" s="4" t="s">
        <v>1318</v>
      </c>
      <c r="C62" s="4" t="s">
        <v>76</v>
      </c>
      <c r="D62" s="4" t="s">
        <v>1319</v>
      </c>
      <c r="E62" s="4" t="s">
        <v>1289</v>
      </c>
      <c r="F62" s="4" t="s">
        <v>1290</v>
      </c>
      <c r="G62" s="4" t="s">
        <v>38</v>
      </c>
      <c r="H62" s="4" t="s">
        <v>1330</v>
      </c>
      <c r="I62" s="4"/>
      <c r="J62" s="4" t="s">
        <v>927</v>
      </c>
      <c r="K62" s="4" t="s">
        <v>928</v>
      </c>
      <c r="L62" s="4" t="s">
        <v>1331</v>
      </c>
      <c r="M62" s="4" t="s">
        <v>184</v>
      </c>
      <c r="N62" s="4" t="s">
        <v>242</v>
      </c>
      <c r="O62" s="4"/>
    </row>
    <row r="63" customFormat="false" ht="15" hidden="false" customHeight="false" outlineLevel="0" collapsed="false">
      <c r="A63" s="4" t="s">
        <v>73</v>
      </c>
      <c r="B63" s="4" t="s">
        <v>1318</v>
      </c>
      <c r="C63" s="4" t="s">
        <v>76</v>
      </c>
      <c r="D63" s="4" t="s">
        <v>1319</v>
      </c>
      <c r="E63" s="4" t="s">
        <v>1289</v>
      </c>
      <c r="F63" s="4" t="s">
        <v>1290</v>
      </c>
      <c r="G63" s="4" t="s">
        <v>38</v>
      </c>
      <c r="H63" s="4" t="s">
        <v>1330</v>
      </c>
      <c r="I63" s="4"/>
      <c r="J63" s="4" t="s">
        <v>930</v>
      </c>
      <c r="K63" s="4" t="s">
        <v>931</v>
      </c>
      <c r="L63" s="4" t="s">
        <v>1332</v>
      </c>
      <c r="M63" s="4" t="s">
        <v>226</v>
      </c>
      <c r="N63" s="4" t="s">
        <v>242</v>
      </c>
      <c r="O63" s="4"/>
    </row>
    <row r="64" customFormat="false" ht="15" hidden="false" customHeight="false" outlineLevel="0" collapsed="false">
      <c r="A64" s="4" t="s">
        <v>73</v>
      </c>
      <c r="B64" s="4" t="s">
        <v>1318</v>
      </c>
      <c r="C64" s="4" t="s">
        <v>76</v>
      </c>
      <c r="D64" s="4" t="s">
        <v>1319</v>
      </c>
      <c r="E64" s="4" t="s">
        <v>1289</v>
      </c>
      <c r="F64" s="4" t="s">
        <v>1290</v>
      </c>
      <c r="G64" s="4" t="s">
        <v>38</v>
      </c>
      <c r="H64" s="4" t="s">
        <v>1330</v>
      </c>
      <c r="I64" s="4"/>
      <c r="J64" s="4" t="s">
        <v>246</v>
      </c>
      <c r="K64" s="4" t="s">
        <v>932</v>
      </c>
      <c r="L64" s="4" t="s">
        <v>1333</v>
      </c>
      <c r="M64" s="4" t="s">
        <v>248</v>
      </c>
      <c r="N64" s="4" t="s">
        <v>242</v>
      </c>
      <c r="O64" s="4"/>
    </row>
    <row r="65" customFormat="false" ht="15" hidden="false" customHeight="false" outlineLevel="0" collapsed="false">
      <c r="A65" s="4" t="s">
        <v>73</v>
      </c>
      <c r="B65" s="4" t="s">
        <v>1318</v>
      </c>
      <c r="C65" s="4" t="s">
        <v>76</v>
      </c>
      <c r="D65" s="4" t="s">
        <v>1319</v>
      </c>
      <c r="E65" s="4" t="s">
        <v>1289</v>
      </c>
      <c r="F65" s="4" t="s">
        <v>1290</v>
      </c>
      <c r="G65" s="4" t="s">
        <v>38</v>
      </c>
      <c r="H65" s="4" t="s">
        <v>1330</v>
      </c>
      <c r="I65" s="4"/>
      <c r="J65" s="4" t="s">
        <v>934</v>
      </c>
      <c r="K65" s="4" t="s">
        <v>935</v>
      </c>
      <c r="L65" s="4" t="s">
        <v>1334</v>
      </c>
      <c r="M65" s="4" t="s">
        <v>774</v>
      </c>
      <c r="N65" s="4" t="s">
        <v>242</v>
      </c>
      <c r="O65" s="4"/>
    </row>
    <row r="66" customFormat="false" ht="15" hidden="false" customHeight="false" outlineLevel="0" collapsed="false">
      <c r="A66" s="4" t="s">
        <v>73</v>
      </c>
      <c r="B66" s="4" t="s">
        <v>1318</v>
      </c>
      <c r="C66" s="4" t="s">
        <v>76</v>
      </c>
      <c r="D66" s="4" t="s">
        <v>1319</v>
      </c>
      <c r="E66" s="4" t="s">
        <v>1289</v>
      </c>
      <c r="F66" s="4" t="s">
        <v>1290</v>
      </c>
      <c r="G66" s="4" t="s">
        <v>38</v>
      </c>
      <c r="H66" s="4" t="s">
        <v>1330</v>
      </c>
      <c r="I66" s="4"/>
      <c r="J66" s="4" t="s">
        <v>937</v>
      </c>
      <c r="K66" s="4" t="s">
        <v>938</v>
      </c>
      <c r="L66" s="4" t="s">
        <v>1335</v>
      </c>
      <c r="M66" s="4"/>
      <c r="N66" s="4" t="s">
        <v>227</v>
      </c>
      <c r="O66" s="4"/>
    </row>
    <row r="67" customFormat="false" ht="15" hidden="false" customHeight="false" outlineLevel="0" collapsed="false">
      <c r="A67" s="4" t="s">
        <v>73</v>
      </c>
      <c r="B67" s="4" t="s">
        <v>1318</v>
      </c>
      <c r="C67" s="4" t="s">
        <v>76</v>
      </c>
      <c r="D67" s="4" t="s">
        <v>1319</v>
      </c>
      <c r="E67" s="4" t="s">
        <v>1289</v>
      </c>
      <c r="F67" s="4" t="s">
        <v>1290</v>
      </c>
      <c r="G67" s="4" t="s">
        <v>38</v>
      </c>
      <c r="H67" s="4" t="s">
        <v>1330</v>
      </c>
      <c r="I67" s="4"/>
      <c r="J67" s="4" t="s">
        <v>939</v>
      </c>
      <c r="K67" s="4" t="s">
        <v>940</v>
      </c>
      <c r="L67" s="4"/>
      <c r="M67" s="4" t="s">
        <v>875</v>
      </c>
      <c r="N67" s="4" t="s">
        <v>214</v>
      </c>
      <c r="O67" s="4"/>
    </row>
    <row r="68" customFormat="false" ht="23.85" hidden="false" customHeight="false" outlineLevel="0" collapsed="false">
      <c r="A68" s="4" t="s">
        <v>73</v>
      </c>
      <c r="B68" s="4" t="s">
        <v>1318</v>
      </c>
      <c r="C68" s="4" t="s">
        <v>76</v>
      </c>
      <c r="D68" s="4" t="s">
        <v>1319</v>
      </c>
      <c r="E68" s="4" t="s">
        <v>1289</v>
      </c>
      <c r="F68" s="4" t="s">
        <v>1290</v>
      </c>
      <c r="G68" s="4" t="s">
        <v>38</v>
      </c>
      <c r="H68" s="4" t="s">
        <v>1336</v>
      </c>
      <c r="I68" s="4"/>
      <c r="J68" s="4" t="s">
        <v>942</v>
      </c>
      <c r="K68" s="4" t="s">
        <v>943</v>
      </c>
      <c r="L68" s="4" t="s">
        <v>1337</v>
      </c>
      <c r="M68" s="4"/>
      <c r="N68" s="4" t="s">
        <v>227</v>
      </c>
      <c r="O68" s="4"/>
    </row>
    <row r="69" customFormat="false" ht="23.85" hidden="false" customHeight="false" outlineLevel="0" collapsed="false">
      <c r="A69" s="4" t="s">
        <v>73</v>
      </c>
      <c r="B69" s="4" t="s">
        <v>1318</v>
      </c>
      <c r="C69" s="4" t="s">
        <v>76</v>
      </c>
      <c r="D69" s="4" t="s">
        <v>1319</v>
      </c>
      <c r="E69" s="4" t="s">
        <v>1289</v>
      </c>
      <c r="F69" s="4" t="s">
        <v>1290</v>
      </c>
      <c r="G69" s="4" t="s">
        <v>38</v>
      </c>
      <c r="H69" s="4" t="s">
        <v>1336</v>
      </c>
      <c r="I69" s="4"/>
      <c r="J69" s="4" t="s">
        <v>945</v>
      </c>
      <c r="K69" s="4" t="s">
        <v>946</v>
      </c>
      <c r="L69" s="4"/>
      <c r="M69" s="4"/>
      <c r="N69" s="4" t="s">
        <v>227</v>
      </c>
      <c r="O69" s="4"/>
    </row>
    <row r="70" customFormat="false" ht="15" hidden="false" customHeight="false" outlineLevel="0" collapsed="false">
      <c r="A70" s="4" t="s">
        <v>73</v>
      </c>
      <c r="B70" s="4" t="s">
        <v>1318</v>
      </c>
      <c r="C70" s="4" t="s">
        <v>76</v>
      </c>
      <c r="D70" s="4" t="s">
        <v>1319</v>
      </c>
      <c r="E70" s="4" t="s">
        <v>1289</v>
      </c>
      <c r="F70" s="4" t="s">
        <v>1290</v>
      </c>
      <c r="G70" s="4" t="s">
        <v>38</v>
      </c>
      <c r="H70" s="4" t="s">
        <v>1336</v>
      </c>
      <c r="I70" s="4"/>
      <c r="J70" s="4" t="s">
        <v>839</v>
      </c>
      <c r="K70" s="4" t="s">
        <v>840</v>
      </c>
      <c r="L70" s="4"/>
      <c r="M70" s="4"/>
      <c r="N70" s="4" t="s">
        <v>227</v>
      </c>
      <c r="O70" s="4"/>
    </row>
    <row r="71" customFormat="false" ht="15" hidden="false" customHeight="false" outlineLevel="0" collapsed="false">
      <c r="A71" s="4" t="s">
        <v>73</v>
      </c>
      <c r="B71" s="4" t="s">
        <v>1318</v>
      </c>
      <c r="C71" s="4" t="s">
        <v>76</v>
      </c>
      <c r="D71" s="4" t="s">
        <v>1319</v>
      </c>
      <c r="E71" s="4" t="s">
        <v>1289</v>
      </c>
      <c r="F71" s="4" t="s">
        <v>1290</v>
      </c>
      <c r="G71" s="4" t="s">
        <v>38</v>
      </c>
      <c r="H71" s="4" t="s">
        <v>1336</v>
      </c>
      <c r="I71" s="4"/>
      <c r="J71" s="4" t="s">
        <v>699</v>
      </c>
      <c r="K71" s="4" t="s">
        <v>700</v>
      </c>
      <c r="L71" s="4" t="s">
        <v>38</v>
      </c>
      <c r="M71" s="4"/>
      <c r="N71" s="4" t="s">
        <v>227</v>
      </c>
      <c r="O71" s="4"/>
    </row>
    <row r="72" customFormat="false" ht="15" hidden="false" customHeight="false" outlineLevel="0" collapsed="false">
      <c r="A72" s="4" t="s">
        <v>126</v>
      </c>
      <c r="B72" s="4" t="s">
        <v>1338</v>
      </c>
      <c r="C72" s="4" t="s">
        <v>119</v>
      </c>
      <c r="D72" s="4" t="s">
        <v>1339</v>
      </c>
      <c r="E72" s="4" t="s">
        <v>1276</v>
      </c>
      <c r="F72" s="4" t="s">
        <v>1290</v>
      </c>
      <c r="G72" s="4" t="s">
        <v>30</v>
      </c>
      <c r="H72" s="4" t="s">
        <v>1291</v>
      </c>
      <c r="I72" s="4"/>
      <c r="J72" s="4" t="s">
        <v>626</v>
      </c>
      <c r="K72" s="4" t="s">
        <v>627</v>
      </c>
      <c r="L72" s="4" t="s">
        <v>1339</v>
      </c>
      <c r="M72" s="4"/>
      <c r="N72" s="4" t="s">
        <v>630</v>
      </c>
      <c r="O72" s="4"/>
    </row>
    <row r="73" customFormat="false" ht="15" hidden="false" customHeight="false" outlineLevel="0" collapsed="false">
      <c r="A73" s="4" t="s">
        <v>126</v>
      </c>
      <c r="B73" s="4" t="s">
        <v>1338</v>
      </c>
      <c r="C73" s="4" t="s">
        <v>119</v>
      </c>
      <c r="D73" s="4" t="s">
        <v>1339</v>
      </c>
      <c r="E73" s="4" t="s">
        <v>1276</v>
      </c>
      <c r="F73" s="4" t="s">
        <v>1290</v>
      </c>
      <c r="G73" s="4" t="s">
        <v>30</v>
      </c>
      <c r="H73" s="4" t="s">
        <v>1291</v>
      </c>
      <c r="I73" s="4"/>
      <c r="J73" s="4" t="s">
        <v>633</v>
      </c>
      <c r="K73" s="4" t="s">
        <v>634</v>
      </c>
      <c r="L73" s="4" t="s">
        <v>1340</v>
      </c>
      <c r="M73" s="4"/>
      <c r="N73" s="4" t="s">
        <v>630</v>
      </c>
      <c r="O73" s="4"/>
    </row>
    <row r="74" customFormat="false" ht="15" hidden="false" customHeight="false" outlineLevel="0" collapsed="false">
      <c r="A74" s="4" t="s">
        <v>126</v>
      </c>
      <c r="B74" s="4" t="s">
        <v>1338</v>
      </c>
      <c r="C74" s="4" t="s">
        <v>119</v>
      </c>
      <c r="D74" s="4" t="s">
        <v>1339</v>
      </c>
      <c r="E74" s="4" t="s">
        <v>1276</v>
      </c>
      <c r="F74" s="4" t="s">
        <v>1290</v>
      </c>
      <c r="G74" s="4" t="s">
        <v>30</v>
      </c>
      <c r="H74" s="4" t="s">
        <v>1291</v>
      </c>
      <c r="I74" s="4"/>
      <c r="J74" s="4" t="s">
        <v>636</v>
      </c>
      <c r="K74" s="4" t="s">
        <v>340</v>
      </c>
      <c r="L74" s="4" t="s">
        <v>119</v>
      </c>
      <c r="M74" s="4"/>
      <c r="N74" s="4" t="s">
        <v>214</v>
      </c>
      <c r="O74" s="4"/>
    </row>
    <row r="75" customFormat="false" ht="15" hidden="false" customHeight="false" outlineLevel="0" collapsed="false">
      <c r="A75" s="4" t="s">
        <v>126</v>
      </c>
      <c r="B75" s="4" t="s">
        <v>1338</v>
      </c>
      <c r="C75" s="4" t="s">
        <v>119</v>
      </c>
      <c r="D75" s="4" t="s">
        <v>1339</v>
      </c>
      <c r="E75" s="4" t="s">
        <v>1276</v>
      </c>
      <c r="F75" s="4" t="s">
        <v>1290</v>
      </c>
      <c r="G75" s="4" t="s">
        <v>30</v>
      </c>
      <c r="H75" s="4" t="s">
        <v>1291</v>
      </c>
      <c r="I75" s="4"/>
      <c r="J75" s="4" t="s">
        <v>639</v>
      </c>
      <c r="K75" s="4" t="s">
        <v>640</v>
      </c>
      <c r="L75" s="4" t="s">
        <v>1341</v>
      </c>
      <c r="M75" s="4"/>
      <c r="N75" s="4" t="s">
        <v>214</v>
      </c>
      <c r="O75" s="4"/>
    </row>
    <row r="76" customFormat="false" ht="15" hidden="false" customHeight="false" outlineLevel="0" collapsed="false">
      <c r="A76" s="4" t="s">
        <v>126</v>
      </c>
      <c r="B76" s="4" t="s">
        <v>1338</v>
      </c>
      <c r="C76" s="4" t="s">
        <v>119</v>
      </c>
      <c r="D76" s="4" t="s">
        <v>1339</v>
      </c>
      <c r="E76" s="4" t="s">
        <v>1276</v>
      </c>
      <c r="F76" s="4" t="s">
        <v>1290</v>
      </c>
      <c r="G76" s="4" t="s">
        <v>30</v>
      </c>
      <c r="H76" s="4" t="s">
        <v>1342</v>
      </c>
      <c r="I76" s="4" t="n">
        <v>22</v>
      </c>
      <c r="J76" s="4" t="s">
        <v>658</v>
      </c>
      <c r="K76" s="4" t="s">
        <v>659</v>
      </c>
      <c r="L76" s="4" t="s">
        <v>1343</v>
      </c>
      <c r="M76" s="4"/>
      <c r="N76" s="4" t="s">
        <v>214</v>
      </c>
      <c r="O76" s="4"/>
    </row>
    <row r="77" customFormat="false" ht="15" hidden="false" customHeight="false" outlineLevel="0" collapsed="false">
      <c r="A77" s="4" t="s">
        <v>126</v>
      </c>
      <c r="B77" s="4" t="s">
        <v>1338</v>
      </c>
      <c r="C77" s="4" t="s">
        <v>119</v>
      </c>
      <c r="D77" s="4" t="s">
        <v>1339</v>
      </c>
      <c r="E77" s="4" t="s">
        <v>1276</v>
      </c>
      <c r="F77" s="4" t="s">
        <v>1290</v>
      </c>
      <c r="G77" s="4" t="s">
        <v>30</v>
      </c>
      <c r="H77" s="4" t="s">
        <v>1342</v>
      </c>
      <c r="I77" s="4" t="n">
        <v>22</v>
      </c>
      <c r="J77" s="4" t="s">
        <v>660</v>
      </c>
      <c r="K77" s="4" t="s">
        <v>661</v>
      </c>
      <c r="L77" s="4" t="s">
        <v>1344</v>
      </c>
      <c r="M77" s="4" t="s">
        <v>201</v>
      </c>
      <c r="N77" s="4" t="s">
        <v>185</v>
      </c>
      <c r="O77" s="4"/>
    </row>
    <row r="78" customFormat="false" ht="15" hidden="false" customHeight="false" outlineLevel="0" collapsed="false">
      <c r="A78" s="4" t="s">
        <v>126</v>
      </c>
      <c r="B78" s="4" t="s">
        <v>1338</v>
      </c>
      <c r="C78" s="4" t="s">
        <v>119</v>
      </c>
      <c r="D78" s="4" t="s">
        <v>1339</v>
      </c>
      <c r="E78" s="4" t="s">
        <v>1276</v>
      </c>
      <c r="F78" s="4" t="s">
        <v>1290</v>
      </c>
      <c r="G78" s="4" t="s">
        <v>30</v>
      </c>
      <c r="H78" s="4" t="s">
        <v>1342</v>
      </c>
      <c r="I78" s="4" t="n">
        <v>22</v>
      </c>
      <c r="J78" s="4" t="s">
        <v>199</v>
      </c>
      <c r="K78" s="4" t="s">
        <v>666</v>
      </c>
      <c r="L78" s="4" t="s">
        <v>1345</v>
      </c>
      <c r="M78" s="4" t="s">
        <v>201</v>
      </c>
      <c r="N78" s="4" t="s">
        <v>185</v>
      </c>
      <c r="O78" s="4"/>
    </row>
    <row r="79" customFormat="false" ht="15" hidden="false" customHeight="false" outlineLevel="0" collapsed="false">
      <c r="A79" s="4" t="s">
        <v>126</v>
      </c>
      <c r="B79" s="4" t="s">
        <v>1338</v>
      </c>
      <c r="C79" s="4" t="s">
        <v>119</v>
      </c>
      <c r="D79" s="4" t="s">
        <v>1339</v>
      </c>
      <c r="E79" s="4" t="s">
        <v>1276</v>
      </c>
      <c r="F79" s="4" t="s">
        <v>1290</v>
      </c>
      <c r="G79" s="4" t="s">
        <v>30</v>
      </c>
      <c r="H79" s="4" t="s">
        <v>1342</v>
      </c>
      <c r="I79" s="4" t="n">
        <v>22</v>
      </c>
      <c r="J79" s="4" t="s">
        <v>668</v>
      </c>
      <c r="K79" s="4" t="s">
        <v>669</v>
      </c>
      <c r="L79" s="4" t="s">
        <v>1346</v>
      </c>
      <c r="M79" s="4" t="s">
        <v>194</v>
      </c>
      <c r="N79" s="4" t="s">
        <v>185</v>
      </c>
      <c r="O79" s="4"/>
    </row>
    <row r="80" customFormat="false" ht="15" hidden="false" customHeight="false" outlineLevel="0" collapsed="false">
      <c r="A80" s="4" t="s">
        <v>126</v>
      </c>
      <c r="B80" s="4" t="s">
        <v>1338</v>
      </c>
      <c r="C80" s="4" t="s">
        <v>119</v>
      </c>
      <c r="D80" s="4" t="s">
        <v>1339</v>
      </c>
      <c r="E80" s="4" t="s">
        <v>1276</v>
      </c>
      <c r="F80" s="4" t="s">
        <v>1290</v>
      </c>
      <c r="G80" s="4" t="s">
        <v>30</v>
      </c>
      <c r="H80" s="4" t="s">
        <v>1342</v>
      </c>
      <c r="I80" s="4" t="n">
        <v>22</v>
      </c>
      <c r="J80" s="4" t="s">
        <v>192</v>
      </c>
      <c r="K80" s="4" t="s">
        <v>671</v>
      </c>
      <c r="L80" s="4" t="s">
        <v>1347</v>
      </c>
      <c r="M80" s="4" t="s">
        <v>194</v>
      </c>
      <c r="N80" s="4" t="s">
        <v>185</v>
      </c>
      <c r="O80" s="4"/>
    </row>
    <row r="81" customFormat="false" ht="15" hidden="false" customHeight="false" outlineLevel="0" collapsed="false">
      <c r="A81" s="4" t="s">
        <v>126</v>
      </c>
      <c r="B81" s="4" t="s">
        <v>1338</v>
      </c>
      <c r="C81" s="4" t="s">
        <v>119</v>
      </c>
      <c r="D81" s="4" t="s">
        <v>1339</v>
      </c>
      <c r="E81" s="4" t="s">
        <v>1276</v>
      </c>
      <c r="F81" s="4" t="s">
        <v>1290</v>
      </c>
      <c r="G81" s="4" t="s">
        <v>30</v>
      </c>
      <c r="H81" s="4" t="s">
        <v>1342</v>
      </c>
      <c r="I81" s="4" t="n">
        <v>22</v>
      </c>
      <c r="J81" s="4" t="s">
        <v>673</v>
      </c>
      <c r="K81" s="4" t="s">
        <v>674</v>
      </c>
      <c r="L81" s="4" t="s">
        <v>1348</v>
      </c>
      <c r="M81" s="4"/>
      <c r="N81" s="4" t="s">
        <v>227</v>
      </c>
      <c r="O81" s="4"/>
    </row>
    <row r="82" customFormat="false" ht="23.85" hidden="false" customHeight="false" outlineLevel="0" collapsed="false">
      <c r="A82" s="4" t="s">
        <v>126</v>
      </c>
      <c r="B82" s="4" t="s">
        <v>1338</v>
      </c>
      <c r="C82" s="4" t="s">
        <v>119</v>
      </c>
      <c r="D82" s="4" t="s">
        <v>1339</v>
      </c>
      <c r="E82" s="4" t="s">
        <v>1276</v>
      </c>
      <c r="F82" s="4" t="s">
        <v>1290</v>
      </c>
      <c r="G82" s="4" t="s">
        <v>30</v>
      </c>
      <c r="H82" s="4" t="s">
        <v>1342</v>
      </c>
      <c r="I82" s="4" t="n">
        <v>22</v>
      </c>
      <c r="J82" s="4" t="s">
        <v>677</v>
      </c>
      <c r="K82" s="4" t="s">
        <v>678</v>
      </c>
      <c r="L82" s="4" t="s">
        <v>1348</v>
      </c>
      <c r="M82" s="4"/>
      <c r="N82" s="4" t="s">
        <v>214</v>
      </c>
      <c r="O82" s="4"/>
    </row>
    <row r="83" customFormat="false" ht="15" hidden="false" customHeight="false" outlineLevel="0" collapsed="false">
      <c r="A83" s="4" t="s">
        <v>126</v>
      </c>
      <c r="B83" s="4" t="s">
        <v>1338</v>
      </c>
      <c r="C83" s="4" t="s">
        <v>119</v>
      </c>
      <c r="D83" s="4" t="s">
        <v>1339</v>
      </c>
      <c r="E83" s="4" t="s">
        <v>1276</v>
      </c>
      <c r="F83" s="4" t="s">
        <v>1290</v>
      </c>
      <c r="G83" s="4" t="s">
        <v>30</v>
      </c>
      <c r="H83" s="4" t="s">
        <v>1342</v>
      </c>
      <c r="I83" s="4" t="n">
        <v>22</v>
      </c>
      <c r="J83" s="4" t="s">
        <v>189</v>
      </c>
      <c r="K83" s="4" t="s">
        <v>190</v>
      </c>
      <c r="L83" s="4" t="s">
        <v>1349</v>
      </c>
      <c r="M83" s="4" t="s">
        <v>191</v>
      </c>
      <c r="N83" s="4" t="s">
        <v>185</v>
      </c>
      <c r="O83" s="4"/>
    </row>
    <row r="84" customFormat="false" ht="15" hidden="false" customHeight="false" outlineLevel="0" collapsed="false">
      <c r="A84" s="4" t="s">
        <v>126</v>
      </c>
      <c r="B84" s="4" t="s">
        <v>1338</v>
      </c>
      <c r="C84" s="4" t="s">
        <v>119</v>
      </c>
      <c r="D84" s="4" t="s">
        <v>1339</v>
      </c>
      <c r="E84" s="4" t="s">
        <v>1276</v>
      </c>
      <c r="F84" s="4" t="s">
        <v>1290</v>
      </c>
      <c r="G84" s="4" t="s">
        <v>30</v>
      </c>
      <c r="H84" s="4" t="s">
        <v>1342</v>
      </c>
      <c r="I84" s="4" t="n">
        <v>22</v>
      </c>
      <c r="J84" s="4" t="s">
        <v>681</v>
      </c>
      <c r="K84" s="4" t="s">
        <v>682</v>
      </c>
      <c r="L84" s="4" t="s">
        <v>1350</v>
      </c>
      <c r="M84" s="4" t="s">
        <v>184</v>
      </c>
      <c r="N84" s="4" t="s">
        <v>185</v>
      </c>
      <c r="O84" s="4"/>
    </row>
    <row r="85" customFormat="false" ht="15" hidden="false" customHeight="false" outlineLevel="0" collapsed="false">
      <c r="A85" s="4" t="s">
        <v>126</v>
      </c>
      <c r="B85" s="4" t="s">
        <v>1338</v>
      </c>
      <c r="C85" s="4" t="s">
        <v>119</v>
      </c>
      <c r="D85" s="4" t="s">
        <v>1339</v>
      </c>
      <c r="E85" s="4" t="s">
        <v>1276</v>
      </c>
      <c r="F85" s="4" t="s">
        <v>1290</v>
      </c>
      <c r="G85" s="4" t="s">
        <v>30</v>
      </c>
      <c r="H85" s="4" t="s">
        <v>1342</v>
      </c>
      <c r="I85" s="4" t="n">
        <v>22</v>
      </c>
      <c r="J85" s="4" t="s">
        <v>182</v>
      </c>
      <c r="K85" s="4" t="s">
        <v>684</v>
      </c>
      <c r="L85" s="4" t="s">
        <v>1351</v>
      </c>
      <c r="M85" s="4" t="s">
        <v>184</v>
      </c>
      <c r="N85" s="4" t="s">
        <v>185</v>
      </c>
      <c r="O85" s="4"/>
    </row>
    <row r="86" customFormat="false" ht="15" hidden="false" customHeight="false" outlineLevel="0" collapsed="false">
      <c r="A86" s="4" t="s">
        <v>126</v>
      </c>
      <c r="B86" s="4" t="s">
        <v>1338</v>
      </c>
      <c r="C86" s="4" t="s">
        <v>119</v>
      </c>
      <c r="D86" s="4" t="s">
        <v>1339</v>
      </c>
      <c r="E86" s="4" t="s">
        <v>1276</v>
      </c>
      <c r="F86" s="4" t="s">
        <v>1290</v>
      </c>
      <c r="G86" s="4" t="s">
        <v>30</v>
      </c>
      <c r="H86" s="4" t="s">
        <v>1342</v>
      </c>
      <c r="I86" s="4" t="n">
        <v>22</v>
      </c>
      <c r="J86" s="4" t="s">
        <v>686</v>
      </c>
      <c r="K86" s="4" t="s">
        <v>687</v>
      </c>
      <c r="L86" s="4" t="s">
        <v>1352</v>
      </c>
      <c r="M86" s="4" t="s">
        <v>184</v>
      </c>
      <c r="N86" s="4" t="s">
        <v>185</v>
      </c>
      <c r="O86" s="4"/>
    </row>
    <row r="87" customFormat="false" ht="15" hidden="false" customHeight="false" outlineLevel="0" collapsed="false">
      <c r="A87" s="4" t="s">
        <v>126</v>
      </c>
      <c r="B87" s="4" t="s">
        <v>1338</v>
      </c>
      <c r="C87" s="4" t="s">
        <v>119</v>
      </c>
      <c r="D87" s="4" t="s">
        <v>1339</v>
      </c>
      <c r="E87" s="4" t="s">
        <v>1276</v>
      </c>
      <c r="F87" s="4" t="s">
        <v>1290</v>
      </c>
      <c r="G87" s="4" t="s">
        <v>30</v>
      </c>
      <c r="H87" s="4" t="s">
        <v>1342</v>
      </c>
      <c r="I87" s="4" t="n">
        <v>22</v>
      </c>
      <c r="J87" s="4" t="s">
        <v>197</v>
      </c>
      <c r="K87" s="4" t="s">
        <v>689</v>
      </c>
      <c r="L87" s="4" t="s">
        <v>1352</v>
      </c>
      <c r="M87" s="4" t="s">
        <v>184</v>
      </c>
      <c r="N87" s="4" t="s">
        <v>185</v>
      </c>
      <c r="O87" s="4"/>
    </row>
    <row r="88" customFormat="false" ht="15" hidden="false" customHeight="false" outlineLevel="0" collapsed="false">
      <c r="A88" s="4" t="s">
        <v>126</v>
      </c>
      <c r="B88" s="4" t="s">
        <v>1338</v>
      </c>
      <c r="C88" s="4" t="s">
        <v>119</v>
      </c>
      <c r="D88" s="4" t="s">
        <v>1339</v>
      </c>
      <c r="E88" s="4" t="s">
        <v>1276</v>
      </c>
      <c r="F88" s="4" t="s">
        <v>1290</v>
      </c>
      <c r="G88" s="4" t="s">
        <v>30</v>
      </c>
      <c r="H88" s="4" t="s">
        <v>1342</v>
      </c>
      <c r="I88" s="4" t="n">
        <v>22</v>
      </c>
      <c r="J88" s="4" t="s">
        <v>691</v>
      </c>
      <c r="K88" s="4" t="s">
        <v>692</v>
      </c>
      <c r="L88" s="4" t="s">
        <v>1353</v>
      </c>
      <c r="M88" s="4" t="s">
        <v>184</v>
      </c>
      <c r="N88" s="4" t="s">
        <v>185</v>
      </c>
      <c r="O88" s="4"/>
    </row>
    <row r="89" customFormat="false" ht="15" hidden="false" customHeight="false" outlineLevel="0" collapsed="false">
      <c r="A89" s="4" t="s">
        <v>126</v>
      </c>
      <c r="B89" s="4" t="s">
        <v>1338</v>
      </c>
      <c r="C89" s="4" t="s">
        <v>119</v>
      </c>
      <c r="D89" s="4" t="s">
        <v>1339</v>
      </c>
      <c r="E89" s="4" t="s">
        <v>1276</v>
      </c>
      <c r="F89" s="4" t="s">
        <v>1290</v>
      </c>
      <c r="G89" s="4" t="s">
        <v>30</v>
      </c>
      <c r="H89" s="4" t="s">
        <v>1342</v>
      </c>
      <c r="I89" s="4" t="n">
        <v>22</v>
      </c>
      <c r="J89" s="4" t="s">
        <v>202</v>
      </c>
      <c r="K89" s="4" t="s">
        <v>694</v>
      </c>
      <c r="L89" s="4" t="s">
        <v>1354</v>
      </c>
      <c r="M89" s="4" t="s">
        <v>184</v>
      </c>
      <c r="N89" s="4" t="s">
        <v>185</v>
      </c>
      <c r="O89" s="4"/>
    </row>
    <row r="90" customFormat="false" ht="15" hidden="false" customHeight="false" outlineLevel="0" collapsed="false">
      <c r="A90" s="4" t="s">
        <v>126</v>
      </c>
      <c r="B90" s="4" t="s">
        <v>1338</v>
      </c>
      <c r="C90" s="4" t="s">
        <v>119</v>
      </c>
      <c r="D90" s="4" t="s">
        <v>1339</v>
      </c>
      <c r="E90" s="4" t="s">
        <v>1276</v>
      </c>
      <c r="F90" s="4" t="s">
        <v>1290</v>
      </c>
      <c r="G90" s="4" t="s">
        <v>30</v>
      </c>
      <c r="H90" s="4" t="s">
        <v>1342</v>
      </c>
      <c r="I90" s="4" t="n">
        <v>22</v>
      </c>
      <c r="J90" s="4" t="s">
        <v>696</v>
      </c>
      <c r="K90" s="4" t="s">
        <v>697</v>
      </c>
      <c r="L90" s="4" t="s">
        <v>1309</v>
      </c>
      <c r="M90" s="4"/>
      <c r="N90" s="4" t="s">
        <v>227</v>
      </c>
      <c r="O90" s="4"/>
    </row>
    <row r="91" customFormat="false" ht="15" hidden="false" customHeight="false" outlineLevel="0" collapsed="false">
      <c r="A91" s="4" t="s">
        <v>126</v>
      </c>
      <c r="B91" s="4" t="s">
        <v>1338</v>
      </c>
      <c r="C91" s="4" t="s">
        <v>119</v>
      </c>
      <c r="D91" s="4" t="s">
        <v>1339</v>
      </c>
      <c r="E91" s="4" t="s">
        <v>1276</v>
      </c>
      <c r="F91" s="4" t="s">
        <v>1290</v>
      </c>
      <c r="G91" s="4" t="s">
        <v>30</v>
      </c>
      <c r="H91" s="4" t="s">
        <v>1342</v>
      </c>
      <c r="I91" s="4" t="n">
        <v>22</v>
      </c>
      <c r="J91" s="4" t="s">
        <v>699</v>
      </c>
      <c r="K91" s="4" t="s">
        <v>700</v>
      </c>
      <c r="L91" s="4" t="s">
        <v>30</v>
      </c>
      <c r="M91" s="4"/>
      <c r="N91" s="4" t="s">
        <v>227</v>
      </c>
      <c r="O91" s="4"/>
    </row>
    <row r="92" customFormat="false" ht="23.85" hidden="false" customHeight="false" outlineLevel="0" collapsed="false">
      <c r="A92" s="4" t="s">
        <v>126</v>
      </c>
      <c r="B92" s="4" t="s">
        <v>1338</v>
      </c>
      <c r="C92" s="4" t="s">
        <v>119</v>
      </c>
      <c r="D92" s="4" t="s">
        <v>1339</v>
      </c>
      <c r="E92" s="4" t="s">
        <v>1276</v>
      </c>
      <c r="F92" s="4" t="s">
        <v>1290</v>
      </c>
      <c r="G92" s="4" t="s">
        <v>30</v>
      </c>
      <c r="H92" s="4" t="s">
        <v>1355</v>
      </c>
      <c r="I92" s="4"/>
      <c r="J92" s="4" t="s">
        <v>722</v>
      </c>
      <c r="K92" s="4" t="s">
        <v>723</v>
      </c>
      <c r="L92" s="4"/>
      <c r="M92" s="4"/>
      <c r="N92" s="4" t="s">
        <v>227</v>
      </c>
      <c r="O92" s="4"/>
    </row>
    <row r="93" customFormat="false" ht="23.85" hidden="false" customHeight="false" outlineLevel="0" collapsed="false">
      <c r="A93" s="4" t="s">
        <v>126</v>
      </c>
      <c r="B93" s="4" t="s">
        <v>1338</v>
      </c>
      <c r="C93" s="4" t="s">
        <v>119</v>
      </c>
      <c r="D93" s="4" t="s">
        <v>1339</v>
      </c>
      <c r="E93" s="4" t="s">
        <v>1276</v>
      </c>
      <c r="F93" s="4" t="s">
        <v>1290</v>
      </c>
      <c r="G93" s="4" t="s">
        <v>30</v>
      </c>
      <c r="H93" s="4" t="s">
        <v>1355</v>
      </c>
      <c r="I93" s="4"/>
      <c r="J93" s="4" t="s">
        <v>725</v>
      </c>
      <c r="K93" s="4" t="s">
        <v>726</v>
      </c>
      <c r="L93" s="4"/>
      <c r="M93" s="4"/>
      <c r="N93" s="4" t="s">
        <v>227</v>
      </c>
      <c r="O93" s="4"/>
    </row>
    <row r="94" customFormat="false" ht="15" hidden="false" customHeight="false" outlineLevel="0" collapsed="false">
      <c r="A94" s="4" t="s">
        <v>132</v>
      </c>
      <c r="B94" s="4" t="s">
        <v>1356</v>
      </c>
      <c r="C94" s="4" t="s">
        <v>127</v>
      </c>
      <c r="D94" s="4" t="s">
        <v>1357</v>
      </c>
      <c r="E94" s="4" t="s">
        <v>1276</v>
      </c>
      <c r="F94" s="4" t="s">
        <v>1358</v>
      </c>
      <c r="G94" s="4" t="s">
        <v>30</v>
      </c>
      <c r="H94" s="4" t="s">
        <v>1291</v>
      </c>
      <c r="I94" s="4"/>
      <c r="J94" s="4" t="s">
        <v>626</v>
      </c>
      <c r="K94" s="4" t="s">
        <v>627</v>
      </c>
      <c r="L94" s="4" t="s">
        <v>1357</v>
      </c>
      <c r="M94" s="4"/>
      <c r="N94" s="4" t="s">
        <v>630</v>
      </c>
      <c r="O94" s="4"/>
    </row>
    <row r="95" customFormat="false" ht="15" hidden="false" customHeight="false" outlineLevel="0" collapsed="false">
      <c r="A95" s="4" t="s">
        <v>132</v>
      </c>
      <c r="B95" s="4" t="s">
        <v>1356</v>
      </c>
      <c r="C95" s="4" t="s">
        <v>127</v>
      </c>
      <c r="D95" s="4" t="s">
        <v>1357</v>
      </c>
      <c r="E95" s="4" t="s">
        <v>1276</v>
      </c>
      <c r="F95" s="4" t="s">
        <v>1358</v>
      </c>
      <c r="G95" s="4" t="s">
        <v>30</v>
      </c>
      <c r="H95" s="4" t="s">
        <v>1291</v>
      </c>
      <c r="I95" s="4"/>
      <c r="J95" s="4" t="s">
        <v>633</v>
      </c>
      <c r="K95" s="4" t="s">
        <v>728</v>
      </c>
      <c r="L95" s="4" t="s">
        <v>1359</v>
      </c>
      <c r="M95" s="4"/>
      <c r="N95" s="4" t="s">
        <v>630</v>
      </c>
      <c r="O95" s="4"/>
    </row>
    <row r="96" customFormat="false" ht="15" hidden="false" customHeight="false" outlineLevel="0" collapsed="false">
      <c r="A96" s="4" t="s">
        <v>132</v>
      </c>
      <c r="B96" s="4" t="s">
        <v>1356</v>
      </c>
      <c r="C96" s="4" t="s">
        <v>127</v>
      </c>
      <c r="D96" s="4" t="s">
        <v>1357</v>
      </c>
      <c r="E96" s="4" t="s">
        <v>1276</v>
      </c>
      <c r="F96" s="4" t="s">
        <v>1358</v>
      </c>
      <c r="G96" s="4" t="s">
        <v>30</v>
      </c>
      <c r="H96" s="4" t="s">
        <v>1291</v>
      </c>
      <c r="I96" s="4"/>
      <c r="J96" s="4" t="s">
        <v>636</v>
      </c>
      <c r="K96" s="4" t="s">
        <v>340</v>
      </c>
      <c r="L96" s="4" t="s">
        <v>127</v>
      </c>
      <c r="M96" s="4"/>
      <c r="N96" s="4" t="s">
        <v>214</v>
      </c>
      <c r="O96" s="4"/>
    </row>
    <row r="97" customFormat="false" ht="15" hidden="false" customHeight="false" outlineLevel="0" collapsed="false">
      <c r="A97" s="4" t="s">
        <v>132</v>
      </c>
      <c r="B97" s="4" t="s">
        <v>1356</v>
      </c>
      <c r="C97" s="4" t="s">
        <v>127</v>
      </c>
      <c r="D97" s="4" t="s">
        <v>1357</v>
      </c>
      <c r="E97" s="4" t="s">
        <v>1276</v>
      </c>
      <c r="F97" s="4" t="s">
        <v>1358</v>
      </c>
      <c r="G97" s="4" t="s">
        <v>30</v>
      </c>
      <c r="H97" s="4" t="s">
        <v>1291</v>
      </c>
      <c r="I97" s="4"/>
      <c r="J97" s="4" t="s">
        <v>639</v>
      </c>
      <c r="K97" s="4" t="s">
        <v>640</v>
      </c>
      <c r="L97" s="4" t="s">
        <v>1360</v>
      </c>
      <c r="M97" s="4"/>
      <c r="N97" s="4" t="s">
        <v>214</v>
      </c>
      <c r="O97" s="4"/>
    </row>
    <row r="98" customFormat="false" ht="15" hidden="false" customHeight="false" outlineLevel="0" collapsed="false">
      <c r="A98" s="4" t="s">
        <v>132</v>
      </c>
      <c r="B98" s="4" t="s">
        <v>1356</v>
      </c>
      <c r="C98" s="4" t="s">
        <v>127</v>
      </c>
      <c r="D98" s="4" t="s">
        <v>1357</v>
      </c>
      <c r="E98" s="4" t="s">
        <v>1276</v>
      </c>
      <c r="F98" s="4" t="s">
        <v>1358</v>
      </c>
      <c r="G98" s="4" t="s">
        <v>30</v>
      </c>
      <c r="H98" s="4" t="s">
        <v>1342</v>
      </c>
      <c r="I98" s="4" t="n">
        <v>22</v>
      </c>
      <c r="J98" s="4" t="s">
        <v>658</v>
      </c>
      <c r="K98" s="4" t="s">
        <v>659</v>
      </c>
      <c r="L98" s="4" t="s">
        <v>1343</v>
      </c>
      <c r="M98" s="4"/>
      <c r="N98" s="4" t="s">
        <v>214</v>
      </c>
      <c r="O98" s="4"/>
    </row>
    <row r="99" customFormat="false" ht="15" hidden="false" customHeight="false" outlineLevel="0" collapsed="false">
      <c r="A99" s="4" t="s">
        <v>132</v>
      </c>
      <c r="B99" s="4" t="s">
        <v>1356</v>
      </c>
      <c r="C99" s="4" t="s">
        <v>127</v>
      </c>
      <c r="D99" s="4" t="s">
        <v>1357</v>
      </c>
      <c r="E99" s="4" t="s">
        <v>1276</v>
      </c>
      <c r="F99" s="4" t="s">
        <v>1358</v>
      </c>
      <c r="G99" s="4" t="s">
        <v>30</v>
      </c>
      <c r="H99" s="4" t="s">
        <v>1342</v>
      </c>
      <c r="I99" s="4" t="n">
        <v>22</v>
      </c>
      <c r="J99" s="4" t="s">
        <v>660</v>
      </c>
      <c r="K99" s="4" t="s">
        <v>661</v>
      </c>
      <c r="L99" s="4" t="s">
        <v>1344</v>
      </c>
      <c r="M99" s="4" t="s">
        <v>201</v>
      </c>
      <c r="N99" s="4" t="s">
        <v>185</v>
      </c>
      <c r="O99" s="4"/>
    </row>
    <row r="100" customFormat="false" ht="15" hidden="false" customHeight="false" outlineLevel="0" collapsed="false">
      <c r="A100" s="4" t="s">
        <v>132</v>
      </c>
      <c r="B100" s="4" t="s">
        <v>1356</v>
      </c>
      <c r="C100" s="4" t="s">
        <v>127</v>
      </c>
      <c r="D100" s="4" t="s">
        <v>1357</v>
      </c>
      <c r="E100" s="4" t="s">
        <v>1276</v>
      </c>
      <c r="F100" s="4" t="s">
        <v>1358</v>
      </c>
      <c r="G100" s="4" t="s">
        <v>30</v>
      </c>
      <c r="H100" s="4" t="s">
        <v>1342</v>
      </c>
      <c r="I100" s="4" t="n">
        <v>22</v>
      </c>
      <c r="J100" s="4" t="s">
        <v>199</v>
      </c>
      <c r="K100" s="4" t="s">
        <v>666</v>
      </c>
      <c r="L100" s="4" t="s">
        <v>1345</v>
      </c>
      <c r="M100" s="4" t="s">
        <v>201</v>
      </c>
      <c r="N100" s="4" t="s">
        <v>185</v>
      </c>
      <c r="O100" s="4"/>
    </row>
    <row r="101" customFormat="false" ht="15" hidden="false" customHeight="false" outlineLevel="0" collapsed="false">
      <c r="A101" s="4" t="s">
        <v>132</v>
      </c>
      <c r="B101" s="4" t="s">
        <v>1356</v>
      </c>
      <c r="C101" s="4" t="s">
        <v>127</v>
      </c>
      <c r="D101" s="4" t="s">
        <v>1357</v>
      </c>
      <c r="E101" s="4" t="s">
        <v>1276</v>
      </c>
      <c r="F101" s="4" t="s">
        <v>1358</v>
      </c>
      <c r="G101" s="4" t="s">
        <v>30</v>
      </c>
      <c r="H101" s="4" t="s">
        <v>1342</v>
      </c>
      <c r="I101" s="4" t="n">
        <v>22</v>
      </c>
      <c r="J101" s="4" t="s">
        <v>668</v>
      </c>
      <c r="K101" s="4" t="s">
        <v>669</v>
      </c>
      <c r="L101" s="4" t="s">
        <v>1361</v>
      </c>
      <c r="M101" s="4" t="s">
        <v>194</v>
      </c>
      <c r="N101" s="4" t="s">
        <v>185</v>
      </c>
      <c r="O101" s="4"/>
    </row>
    <row r="102" customFormat="false" ht="15" hidden="false" customHeight="false" outlineLevel="0" collapsed="false">
      <c r="A102" s="4" t="s">
        <v>132</v>
      </c>
      <c r="B102" s="4" t="s">
        <v>1356</v>
      </c>
      <c r="C102" s="4" t="s">
        <v>127</v>
      </c>
      <c r="D102" s="4" t="s">
        <v>1357</v>
      </c>
      <c r="E102" s="4" t="s">
        <v>1276</v>
      </c>
      <c r="F102" s="4" t="s">
        <v>1358</v>
      </c>
      <c r="G102" s="4" t="s">
        <v>30</v>
      </c>
      <c r="H102" s="4" t="s">
        <v>1342</v>
      </c>
      <c r="I102" s="4" t="n">
        <v>22</v>
      </c>
      <c r="J102" s="4" t="s">
        <v>192</v>
      </c>
      <c r="K102" s="4" t="s">
        <v>671</v>
      </c>
      <c r="L102" s="4" t="s">
        <v>1284</v>
      </c>
      <c r="M102" s="4" t="s">
        <v>194</v>
      </c>
      <c r="N102" s="4" t="s">
        <v>185</v>
      </c>
      <c r="O102" s="4" t="s">
        <v>1283</v>
      </c>
    </row>
    <row r="103" customFormat="false" ht="15" hidden="false" customHeight="false" outlineLevel="0" collapsed="false">
      <c r="A103" s="4" t="s">
        <v>132</v>
      </c>
      <c r="B103" s="4" t="s">
        <v>1356</v>
      </c>
      <c r="C103" s="4" t="s">
        <v>127</v>
      </c>
      <c r="D103" s="4" t="s">
        <v>1357</v>
      </c>
      <c r="E103" s="4" t="s">
        <v>1276</v>
      </c>
      <c r="F103" s="4" t="s">
        <v>1358</v>
      </c>
      <c r="G103" s="4" t="s">
        <v>30</v>
      </c>
      <c r="H103" s="4" t="s">
        <v>1342</v>
      </c>
      <c r="I103" s="4" t="n">
        <v>22</v>
      </c>
      <c r="J103" s="4" t="s">
        <v>673</v>
      </c>
      <c r="K103" s="4" t="s">
        <v>674</v>
      </c>
      <c r="L103" s="4" t="s">
        <v>1362</v>
      </c>
      <c r="M103" s="4"/>
      <c r="N103" s="4" t="s">
        <v>227</v>
      </c>
      <c r="O103" s="4"/>
    </row>
    <row r="104" customFormat="false" ht="23.85" hidden="false" customHeight="false" outlineLevel="0" collapsed="false">
      <c r="A104" s="4" t="s">
        <v>132</v>
      </c>
      <c r="B104" s="4" t="s">
        <v>1356</v>
      </c>
      <c r="C104" s="4" t="s">
        <v>127</v>
      </c>
      <c r="D104" s="4" t="s">
        <v>1357</v>
      </c>
      <c r="E104" s="4" t="s">
        <v>1276</v>
      </c>
      <c r="F104" s="4" t="s">
        <v>1358</v>
      </c>
      <c r="G104" s="4" t="s">
        <v>30</v>
      </c>
      <c r="H104" s="4" t="s">
        <v>1342</v>
      </c>
      <c r="I104" s="4" t="n">
        <v>22</v>
      </c>
      <c r="J104" s="4" t="s">
        <v>677</v>
      </c>
      <c r="K104" s="4" t="s">
        <v>678</v>
      </c>
      <c r="L104" s="4" t="s">
        <v>1348</v>
      </c>
      <c r="M104" s="4"/>
      <c r="N104" s="4" t="s">
        <v>214</v>
      </c>
      <c r="O104" s="4"/>
    </row>
    <row r="105" customFormat="false" ht="15" hidden="false" customHeight="false" outlineLevel="0" collapsed="false">
      <c r="A105" s="4" t="s">
        <v>132</v>
      </c>
      <c r="B105" s="4" t="s">
        <v>1356</v>
      </c>
      <c r="C105" s="4" t="s">
        <v>127</v>
      </c>
      <c r="D105" s="4" t="s">
        <v>1357</v>
      </c>
      <c r="E105" s="4" t="s">
        <v>1276</v>
      </c>
      <c r="F105" s="4" t="s">
        <v>1358</v>
      </c>
      <c r="G105" s="4" t="s">
        <v>30</v>
      </c>
      <c r="H105" s="4" t="s">
        <v>1342</v>
      </c>
      <c r="I105" s="4" t="n">
        <v>22</v>
      </c>
      <c r="J105" s="4" t="s">
        <v>189</v>
      </c>
      <c r="K105" s="4" t="s">
        <v>190</v>
      </c>
      <c r="L105" s="4" t="s">
        <v>1363</v>
      </c>
      <c r="M105" s="4" t="s">
        <v>191</v>
      </c>
      <c r="N105" s="4" t="s">
        <v>185</v>
      </c>
      <c r="O105" s="4" t="s">
        <v>1283</v>
      </c>
    </row>
    <row r="106" customFormat="false" ht="15" hidden="false" customHeight="false" outlineLevel="0" collapsed="false">
      <c r="A106" s="4" t="s">
        <v>132</v>
      </c>
      <c r="B106" s="4" t="s">
        <v>1356</v>
      </c>
      <c r="C106" s="4" t="s">
        <v>127</v>
      </c>
      <c r="D106" s="4" t="s">
        <v>1357</v>
      </c>
      <c r="E106" s="4" t="s">
        <v>1276</v>
      </c>
      <c r="F106" s="4" t="s">
        <v>1358</v>
      </c>
      <c r="G106" s="4" t="s">
        <v>30</v>
      </c>
      <c r="H106" s="4" t="s">
        <v>1342</v>
      </c>
      <c r="I106" s="4" t="n">
        <v>22</v>
      </c>
      <c r="J106" s="4" t="s">
        <v>681</v>
      </c>
      <c r="K106" s="4" t="s">
        <v>682</v>
      </c>
      <c r="L106" s="4" t="s">
        <v>1364</v>
      </c>
      <c r="M106" s="4" t="s">
        <v>184</v>
      </c>
      <c r="N106" s="4" t="s">
        <v>185</v>
      </c>
      <c r="O106" s="4"/>
    </row>
    <row r="107" customFormat="false" ht="15" hidden="false" customHeight="false" outlineLevel="0" collapsed="false">
      <c r="A107" s="4" t="s">
        <v>132</v>
      </c>
      <c r="B107" s="4" t="s">
        <v>1356</v>
      </c>
      <c r="C107" s="4" t="s">
        <v>127</v>
      </c>
      <c r="D107" s="4" t="s">
        <v>1357</v>
      </c>
      <c r="E107" s="4" t="s">
        <v>1276</v>
      </c>
      <c r="F107" s="4" t="s">
        <v>1358</v>
      </c>
      <c r="G107" s="4" t="s">
        <v>30</v>
      </c>
      <c r="H107" s="4" t="s">
        <v>1342</v>
      </c>
      <c r="I107" s="4" t="n">
        <v>22</v>
      </c>
      <c r="J107" s="4" t="s">
        <v>182</v>
      </c>
      <c r="K107" s="4" t="s">
        <v>684</v>
      </c>
      <c r="L107" s="4" t="s">
        <v>1365</v>
      </c>
      <c r="M107" s="4" t="s">
        <v>184</v>
      </c>
      <c r="N107" s="4" t="s">
        <v>185</v>
      </c>
      <c r="O107" s="4"/>
    </row>
    <row r="108" customFormat="false" ht="15" hidden="false" customHeight="false" outlineLevel="0" collapsed="false">
      <c r="A108" s="4" t="s">
        <v>132</v>
      </c>
      <c r="B108" s="4" t="s">
        <v>1356</v>
      </c>
      <c r="C108" s="4" t="s">
        <v>127</v>
      </c>
      <c r="D108" s="4" t="s">
        <v>1357</v>
      </c>
      <c r="E108" s="4" t="s">
        <v>1276</v>
      </c>
      <c r="F108" s="4" t="s">
        <v>1358</v>
      </c>
      <c r="G108" s="4" t="s">
        <v>30</v>
      </c>
      <c r="H108" s="4" t="s">
        <v>1342</v>
      </c>
      <c r="I108" s="4" t="n">
        <v>22</v>
      </c>
      <c r="J108" s="4" t="s">
        <v>686</v>
      </c>
      <c r="K108" s="4" t="s">
        <v>687</v>
      </c>
      <c r="L108" s="4" t="s">
        <v>1366</v>
      </c>
      <c r="M108" s="4" t="s">
        <v>184</v>
      </c>
      <c r="N108" s="4" t="s">
        <v>185</v>
      </c>
      <c r="O108" s="4"/>
    </row>
    <row r="109" customFormat="false" ht="15" hidden="false" customHeight="false" outlineLevel="0" collapsed="false">
      <c r="A109" s="4" t="s">
        <v>132</v>
      </c>
      <c r="B109" s="4" t="s">
        <v>1356</v>
      </c>
      <c r="C109" s="4" t="s">
        <v>127</v>
      </c>
      <c r="D109" s="4" t="s">
        <v>1357</v>
      </c>
      <c r="E109" s="4" t="s">
        <v>1276</v>
      </c>
      <c r="F109" s="4" t="s">
        <v>1358</v>
      </c>
      <c r="G109" s="4" t="s">
        <v>30</v>
      </c>
      <c r="H109" s="4" t="s">
        <v>1342</v>
      </c>
      <c r="I109" s="4" t="n">
        <v>22</v>
      </c>
      <c r="J109" s="4" t="s">
        <v>197</v>
      </c>
      <c r="K109" s="4" t="s">
        <v>689</v>
      </c>
      <c r="L109" s="4" t="s">
        <v>1367</v>
      </c>
      <c r="M109" s="4" t="s">
        <v>184</v>
      </c>
      <c r="N109" s="4" t="s">
        <v>185</v>
      </c>
      <c r="O109" s="4" t="s">
        <v>1283</v>
      </c>
    </row>
    <row r="110" customFormat="false" ht="15" hidden="false" customHeight="false" outlineLevel="0" collapsed="false">
      <c r="A110" s="4" t="s">
        <v>132</v>
      </c>
      <c r="B110" s="4" t="s">
        <v>1356</v>
      </c>
      <c r="C110" s="4" t="s">
        <v>127</v>
      </c>
      <c r="D110" s="4" t="s">
        <v>1357</v>
      </c>
      <c r="E110" s="4" t="s">
        <v>1276</v>
      </c>
      <c r="F110" s="4" t="s">
        <v>1358</v>
      </c>
      <c r="G110" s="4" t="s">
        <v>30</v>
      </c>
      <c r="H110" s="4" t="s">
        <v>1342</v>
      </c>
      <c r="I110" s="4" t="n">
        <v>22</v>
      </c>
      <c r="J110" s="4" t="s">
        <v>691</v>
      </c>
      <c r="K110" s="4" t="s">
        <v>692</v>
      </c>
      <c r="L110" s="4" t="s">
        <v>1368</v>
      </c>
      <c r="M110" s="4" t="s">
        <v>184</v>
      </c>
      <c r="N110" s="4" t="s">
        <v>185</v>
      </c>
      <c r="O110" s="4"/>
    </row>
    <row r="111" customFormat="false" ht="15" hidden="false" customHeight="false" outlineLevel="0" collapsed="false">
      <c r="A111" s="4" t="s">
        <v>132</v>
      </c>
      <c r="B111" s="4" t="s">
        <v>1356</v>
      </c>
      <c r="C111" s="4" t="s">
        <v>127</v>
      </c>
      <c r="D111" s="4" t="s">
        <v>1357</v>
      </c>
      <c r="E111" s="4" t="s">
        <v>1276</v>
      </c>
      <c r="F111" s="4" t="s">
        <v>1358</v>
      </c>
      <c r="G111" s="4" t="s">
        <v>30</v>
      </c>
      <c r="H111" s="4" t="s">
        <v>1342</v>
      </c>
      <c r="I111" s="4" t="n">
        <v>22</v>
      </c>
      <c r="J111" s="4" t="s">
        <v>202</v>
      </c>
      <c r="K111" s="4" t="s">
        <v>694</v>
      </c>
      <c r="L111" s="4" t="s">
        <v>1369</v>
      </c>
      <c r="M111" s="4" t="s">
        <v>184</v>
      </c>
      <c r="N111" s="4" t="s">
        <v>185</v>
      </c>
      <c r="O111" s="4"/>
    </row>
    <row r="112" customFormat="false" ht="15" hidden="false" customHeight="false" outlineLevel="0" collapsed="false">
      <c r="A112" s="4" t="s">
        <v>132</v>
      </c>
      <c r="B112" s="4" t="s">
        <v>1356</v>
      </c>
      <c r="C112" s="4" t="s">
        <v>127</v>
      </c>
      <c r="D112" s="4" t="s">
        <v>1357</v>
      </c>
      <c r="E112" s="4" t="s">
        <v>1276</v>
      </c>
      <c r="F112" s="4" t="s">
        <v>1358</v>
      </c>
      <c r="G112" s="4" t="s">
        <v>30</v>
      </c>
      <c r="H112" s="4" t="s">
        <v>1342</v>
      </c>
      <c r="I112" s="4" t="n">
        <v>22</v>
      </c>
      <c r="J112" s="4" t="s">
        <v>696</v>
      </c>
      <c r="K112" s="4" t="s">
        <v>697</v>
      </c>
      <c r="L112" s="4" t="s">
        <v>1309</v>
      </c>
      <c r="M112" s="4"/>
      <c r="N112" s="4" t="s">
        <v>227</v>
      </c>
      <c r="O112" s="4"/>
    </row>
    <row r="113" customFormat="false" ht="15" hidden="false" customHeight="false" outlineLevel="0" collapsed="false">
      <c r="A113" s="4" t="s">
        <v>132</v>
      </c>
      <c r="B113" s="4" t="s">
        <v>1356</v>
      </c>
      <c r="C113" s="4" t="s">
        <v>127</v>
      </c>
      <c r="D113" s="4" t="s">
        <v>1357</v>
      </c>
      <c r="E113" s="4" t="s">
        <v>1276</v>
      </c>
      <c r="F113" s="4" t="s">
        <v>1358</v>
      </c>
      <c r="G113" s="4" t="s">
        <v>30</v>
      </c>
      <c r="H113" s="4" t="s">
        <v>1342</v>
      </c>
      <c r="I113" s="4" t="n">
        <v>22</v>
      </c>
      <c r="J113" s="4" t="s">
        <v>699</v>
      </c>
      <c r="K113" s="4" t="s">
        <v>700</v>
      </c>
      <c r="L113" s="4" t="s">
        <v>30</v>
      </c>
      <c r="M113" s="4"/>
      <c r="N113" s="4" t="s">
        <v>227</v>
      </c>
      <c r="O113" s="4"/>
    </row>
    <row r="114" customFormat="false" ht="23.85" hidden="false" customHeight="false" outlineLevel="0" collapsed="false">
      <c r="A114" s="4" t="s">
        <v>132</v>
      </c>
      <c r="B114" s="4" t="s">
        <v>1356</v>
      </c>
      <c r="C114" s="4" t="s">
        <v>127</v>
      </c>
      <c r="D114" s="4" t="s">
        <v>1357</v>
      </c>
      <c r="E114" s="4" t="s">
        <v>1276</v>
      </c>
      <c r="F114" s="4" t="s">
        <v>1358</v>
      </c>
      <c r="G114" s="4" t="s">
        <v>30</v>
      </c>
      <c r="H114" s="4" t="s">
        <v>1355</v>
      </c>
      <c r="I114" s="4"/>
      <c r="J114" s="4" t="s">
        <v>722</v>
      </c>
      <c r="K114" s="4" t="s">
        <v>723</v>
      </c>
      <c r="L114" s="4" t="s">
        <v>1370</v>
      </c>
      <c r="M114" s="4"/>
      <c r="N114" s="4" t="s">
        <v>227</v>
      </c>
      <c r="O114" s="4"/>
    </row>
    <row r="115" customFormat="false" ht="35.05" hidden="false" customHeight="false" outlineLevel="0" collapsed="false">
      <c r="A115" s="4" t="s">
        <v>132</v>
      </c>
      <c r="B115" s="4" t="s">
        <v>1356</v>
      </c>
      <c r="C115" s="4" t="s">
        <v>127</v>
      </c>
      <c r="D115" s="4" t="s">
        <v>1357</v>
      </c>
      <c r="E115" s="4" t="s">
        <v>1276</v>
      </c>
      <c r="F115" s="4" t="s">
        <v>1358</v>
      </c>
      <c r="G115" s="4" t="s">
        <v>30</v>
      </c>
      <c r="H115" s="4" t="s">
        <v>1355</v>
      </c>
      <c r="I115" s="4"/>
      <c r="J115" s="4" t="s">
        <v>725</v>
      </c>
      <c r="K115" s="4" t="s">
        <v>726</v>
      </c>
      <c r="L115" s="4" t="s">
        <v>1371</v>
      </c>
      <c r="M115" s="4"/>
      <c r="N115" s="4" t="s">
        <v>227</v>
      </c>
      <c r="O115" s="4"/>
    </row>
    <row r="116" customFormat="false" ht="15" hidden="false" customHeight="false" outlineLevel="0" collapsed="false">
      <c r="A116" s="4" t="s">
        <v>101</v>
      </c>
      <c r="B116" s="4" t="s">
        <v>1372</v>
      </c>
      <c r="C116" s="4" t="s">
        <v>104</v>
      </c>
      <c r="D116" s="4" t="s">
        <v>1373</v>
      </c>
      <c r="E116" s="4" t="s">
        <v>1289</v>
      </c>
      <c r="F116" s="4" t="s">
        <v>1290</v>
      </c>
      <c r="G116" s="4" t="s">
        <v>39</v>
      </c>
      <c r="H116" s="4" t="s">
        <v>1374</v>
      </c>
      <c r="I116" s="4"/>
      <c r="J116" s="4" t="s">
        <v>1010</v>
      </c>
      <c r="K116" s="4" t="s">
        <v>1011</v>
      </c>
      <c r="L116" s="4" t="s">
        <v>1373</v>
      </c>
      <c r="M116" s="4"/>
      <c r="N116" s="4" t="s">
        <v>630</v>
      </c>
      <c r="O116" s="4"/>
    </row>
    <row r="117" customFormat="false" ht="15" hidden="false" customHeight="false" outlineLevel="0" collapsed="false">
      <c r="A117" s="4" t="s">
        <v>101</v>
      </c>
      <c r="B117" s="4" t="s">
        <v>1372</v>
      </c>
      <c r="C117" s="4" t="s">
        <v>104</v>
      </c>
      <c r="D117" s="4" t="s">
        <v>1373</v>
      </c>
      <c r="E117" s="4" t="s">
        <v>1289</v>
      </c>
      <c r="F117" s="4" t="s">
        <v>1290</v>
      </c>
      <c r="G117" s="4" t="s">
        <v>39</v>
      </c>
      <c r="H117" s="4" t="s">
        <v>1374</v>
      </c>
      <c r="I117" s="4"/>
      <c r="J117" s="4" t="s">
        <v>985</v>
      </c>
      <c r="K117" s="4" t="s">
        <v>1013</v>
      </c>
      <c r="L117" s="4" t="s">
        <v>1375</v>
      </c>
      <c r="M117" s="4"/>
      <c r="N117" s="4" t="s">
        <v>630</v>
      </c>
      <c r="O117" s="4"/>
    </row>
    <row r="118" customFormat="false" ht="15" hidden="false" customHeight="false" outlineLevel="0" collapsed="false">
      <c r="A118" s="4" t="s">
        <v>101</v>
      </c>
      <c r="B118" s="4" t="s">
        <v>1372</v>
      </c>
      <c r="C118" s="4" t="s">
        <v>104</v>
      </c>
      <c r="D118" s="4" t="s">
        <v>1373</v>
      </c>
      <c r="E118" s="4" t="s">
        <v>1289</v>
      </c>
      <c r="F118" s="4" t="s">
        <v>1290</v>
      </c>
      <c r="G118" s="4" t="s">
        <v>39</v>
      </c>
      <c r="H118" s="4" t="s">
        <v>1374</v>
      </c>
      <c r="I118" s="4"/>
      <c r="J118" s="4" t="s">
        <v>1014</v>
      </c>
      <c r="K118" s="4" t="s">
        <v>1015</v>
      </c>
      <c r="L118" s="4" t="s">
        <v>1376</v>
      </c>
      <c r="M118" s="4"/>
      <c r="N118" s="4" t="s">
        <v>214</v>
      </c>
      <c r="O118" s="4"/>
    </row>
    <row r="119" customFormat="false" ht="15" hidden="false" customHeight="false" outlineLevel="0" collapsed="false">
      <c r="A119" s="4" t="s">
        <v>101</v>
      </c>
      <c r="B119" s="4" t="s">
        <v>1372</v>
      </c>
      <c r="C119" s="4" t="s">
        <v>104</v>
      </c>
      <c r="D119" s="4" t="s">
        <v>1373</v>
      </c>
      <c r="E119" s="4" t="s">
        <v>1289</v>
      </c>
      <c r="F119" s="4" t="s">
        <v>1290</v>
      </c>
      <c r="G119" s="4" t="s">
        <v>39</v>
      </c>
      <c r="H119" s="4" t="s">
        <v>1374</v>
      </c>
      <c r="I119" s="4"/>
      <c r="J119" s="4" t="s">
        <v>1016</v>
      </c>
      <c r="K119" s="4" t="s">
        <v>1017</v>
      </c>
      <c r="L119" s="4" t="s">
        <v>1377</v>
      </c>
      <c r="M119" s="4"/>
      <c r="N119" s="4" t="s">
        <v>214</v>
      </c>
      <c r="O119" s="4"/>
    </row>
    <row r="120" customFormat="false" ht="15" hidden="false" customHeight="false" outlineLevel="0" collapsed="false">
      <c r="A120" s="4" t="s">
        <v>101</v>
      </c>
      <c r="B120" s="4" t="s">
        <v>1372</v>
      </c>
      <c r="C120" s="4" t="s">
        <v>104</v>
      </c>
      <c r="D120" s="4" t="s">
        <v>1373</v>
      </c>
      <c r="E120" s="4" t="s">
        <v>1289</v>
      </c>
      <c r="F120" s="4" t="s">
        <v>1290</v>
      </c>
      <c r="G120" s="4" t="s">
        <v>39</v>
      </c>
      <c r="H120" s="4" t="s">
        <v>1374</v>
      </c>
      <c r="I120" s="4"/>
      <c r="J120" s="4" t="s">
        <v>1018</v>
      </c>
      <c r="K120" s="4" t="s">
        <v>1019</v>
      </c>
      <c r="L120" s="4" t="s">
        <v>1378</v>
      </c>
      <c r="M120" s="4" t="s">
        <v>875</v>
      </c>
      <c r="N120" s="4" t="s">
        <v>214</v>
      </c>
      <c r="O120" s="4" t="s">
        <v>1283</v>
      </c>
    </row>
    <row r="121" customFormat="false" ht="15" hidden="false" customHeight="false" outlineLevel="0" collapsed="false">
      <c r="A121" s="4" t="s">
        <v>101</v>
      </c>
      <c r="B121" s="4" t="s">
        <v>1372</v>
      </c>
      <c r="C121" s="4" t="s">
        <v>104</v>
      </c>
      <c r="D121" s="4" t="s">
        <v>1373</v>
      </c>
      <c r="E121" s="4" t="s">
        <v>1289</v>
      </c>
      <c r="F121" s="4" t="s">
        <v>1290</v>
      </c>
      <c r="G121" s="4" t="s">
        <v>39</v>
      </c>
      <c r="H121" s="4" t="s">
        <v>1374</v>
      </c>
      <c r="I121" s="4"/>
      <c r="J121" s="4" t="s">
        <v>1021</v>
      </c>
      <c r="K121" s="4" t="s">
        <v>1022</v>
      </c>
      <c r="L121" s="4" t="s">
        <v>1379</v>
      </c>
      <c r="M121" s="4" t="s">
        <v>1023</v>
      </c>
      <c r="N121" s="4" t="s">
        <v>185</v>
      </c>
      <c r="O121" s="4"/>
    </row>
    <row r="122" customFormat="false" ht="15" hidden="false" customHeight="false" outlineLevel="0" collapsed="false">
      <c r="A122" s="4" t="s">
        <v>101</v>
      </c>
      <c r="B122" s="4" t="s">
        <v>1372</v>
      </c>
      <c r="C122" s="4" t="s">
        <v>104</v>
      </c>
      <c r="D122" s="4" t="s">
        <v>1373</v>
      </c>
      <c r="E122" s="4" t="s">
        <v>1289</v>
      </c>
      <c r="F122" s="4" t="s">
        <v>1290</v>
      </c>
      <c r="G122" s="4" t="s">
        <v>39</v>
      </c>
      <c r="H122" s="4" t="s">
        <v>1374</v>
      </c>
      <c r="I122" s="4"/>
      <c r="J122" s="4" t="s">
        <v>1024</v>
      </c>
      <c r="K122" s="4" t="s">
        <v>1025</v>
      </c>
      <c r="L122" s="4" t="s">
        <v>1380</v>
      </c>
      <c r="M122" s="4" t="s">
        <v>774</v>
      </c>
      <c r="N122" s="4" t="s">
        <v>227</v>
      </c>
      <c r="O122" s="4"/>
    </row>
    <row r="123" customFormat="false" ht="15" hidden="false" customHeight="false" outlineLevel="0" collapsed="false">
      <c r="A123" s="4" t="s">
        <v>101</v>
      </c>
      <c r="B123" s="4" t="s">
        <v>1372</v>
      </c>
      <c r="C123" s="4" t="s">
        <v>104</v>
      </c>
      <c r="D123" s="4" t="s">
        <v>1373</v>
      </c>
      <c r="E123" s="4" t="s">
        <v>1289</v>
      </c>
      <c r="F123" s="4" t="s">
        <v>1290</v>
      </c>
      <c r="G123" s="4" t="s">
        <v>39</v>
      </c>
      <c r="H123" s="4" t="s">
        <v>1374</v>
      </c>
      <c r="I123" s="4"/>
      <c r="J123" s="4" t="s">
        <v>1026</v>
      </c>
      <c r="K123" s="4" t="s">
        <v>1027</v>
      </c>
      <c r="L123" s="4" t="s">
        <v>1381</v>
      </c>
      <c r="M123" s="4" t="s">
        <v>184</v>
      </c>
      <c r="N123" s="4" t="s">
        <v>185</v>
      </c>
      <c r="O123" s="4"/>
    </row>
    <row r="124" customFormat="false" ht="15" hidden="false" customHeight="false" outlineLevel="0" collapsed="false">
      <c r="A124" s="4" t="s">
        <v>101</v>
      </c>
      <c r="B124" s="4" t="s">
        <v>1372</v>
      </c>
      <c r="C124" s="4" t="s">
        <v>104</v>
      </c>
      <c r="D124" s="4" t="s">
        <v>1373</v>
      </c>
      <c r="E124" s="4" t="s">
        <v>1289</v>
      </c>
      <c r="F124" s="4" t="s">
        <v>1290</v>
      </c>
      <c r="G124" s="4" t="s">
        <v>39</v>
      </c>
      <c r="H124" s="4" t="s">
        <v>1374</v>
      </c>
      <c r="I124" s="4"/>
      <c r="J124" s="4" t="s">
        <v>1029</v>
      </c>
      <c r="K124" s="4" t="s">
        <v>1030</v>
      </c>
      <c r="L124" s="4" t="s">
        <v>1382</v>
      </c>
      <c r="M124" s="4" t="s">
        <v>238</v>
      </c>
      <c r="N124" s="4" t="s">
        <v>214</v>
      </c>
      <c r="O124" s="4"/>
    </row>
    <row r="125" customFormat="false" ht="15" hidden="false" customHeight="false" outlineLevel="0" collapsed="false">
      <c r="A125" s="4" t="s">
        <v>101</v>
      </c>
      <c r="B125" s="4" t="s">
        <v>1372</v>
      </c>
      <c r="C125" s="4" t="s">
        <v>104</v>
      </c>
      <c r="D125" s="4" t="s">
        <v>1373</v>
      </c>
      <c r="E125" s="4" t="s">
        <v>1289</v>
      </c>
      <c r="F125" s="4" t="s">
        <v>1290</v>
      </c>
      <c r="G125" s="4" t="s">
        <v>39</v>
      </c>
      <c r="H125" s="4" t="s">
        <v>1374</v>
      </c>
      <c r="I125" s="4"/>
      <c r="J125" s="4" t="s">
        <v>1031</v>
      </c>
      <c r="K125" s="4" t="s">
        <v>1032</v>
      </c>
      <c r="L125" s="4" t="s">
        <v>1383</v>
      </c>
      <c r="M125" s="4" t="s">
        <v>241</v>
      </c>
      <c r="N125" s="4" t="s">
        <v>752</v>
      </c>
      <c r="O125" s="4"/>
    </row>
    <row r="126" customFormat="false" ht="15" hidden="false" customHeight="false" outlineLevel="0" collapsed="false">
      <c r="A126" s="4" t="s">
        <v>101</v>
      </c>
      <c r="B126" s="4" t="s">
        <v>1372</v>
      </c>
      <c r="C126" s="4" t="s">
        <v>104</v>
      </c>
      <c r="D126" s="4" t="s">
        <v>1373</v>
      </c>
      <c r="E126" s="4" t="s">
        <v>1289</v>
      </c>
      <c r="F126" s="4" t="s">
        <v>1290</v>
      </c>
      <c r="G126" s="4" t="s">
        <v>39</v>
      </c>
      <c r="H126" s="4" t="s">
        <v>1374</v>
      </c>
      <c r="I126" s="4"/>
      <c r="J126" s="4" t="s">
        <v>1034</v>
      </c>
      <c r="K126" s="4" t="s">
        <v>1035</v>
      </c>
      <c r="L126" s="4" t="s">
        <v>1384</v>
      </c>
      <c r="M126" s="4" t="s">
        <v>706</v>
      </c>
      <c r="N126" s="4" t="s">
        <v>705</v>
      </c>
      <c r="O126" s="4"/>
    </row>
    <row r="127" customFormat="false" ht="15" hidden="false" customHeight="false" outlineLevel="0" collapsed="false">
      <c r="A127" s="4" t="s">
        <v>101</v>
      </c>
      <c r="B127" s="4" t="s">
        <v>1372</v>
      </c>
      <c r="C127" s="4" t="s">
        <v>104</v>
      </c>
      <c r="D127" s="4" t="s">
        <v>1373</v>
      </c>
      <c r="E127" s="4" t="s">
        <v>1289</v>
      </c>
      <c r="F127" s="4" t="s">
        <v>1290</v>
      </c>
      <c r="G127" s="4" t="s">
        <v>39</v>
      </c>
      <c r="H127" s="4" t="s">
        <v>1374</v>
      </c>
      <c r="I127" s="4"/>
      <c r="J127" s="4" t="s">
        <v>699</v>
      </c>
      <c r="K127" s="4" t="s">
        <v>700</v>
      </c>
      <c r="L127" s="4" t="s">
        <v>39</v>
      </c>
      <c r="M127" s="4"/>
      <c r="N127" s="4" t="s">
        <v>227</v>
      </c>
      <c r="O127" s="4"/>
    </row>
    <row r="128" customFormat="false" ht="15" hidden="false" customHeight="false" outlineLevel="0" collapsed="false">
      <c r="A128" s="4" t="s">
        <v>154</v>
      </c>
      <c r="B128" s="4" t="s">
        <v>1385</v>
      </c>
      <c r="C128" s="4" t="s">
        <v>155</v>
      </c>
      <c r="D128" s="4" t="s">
        <v>1386</v>
      </c>
      <c r="E128" s="4" t="s">
        <v>1289</v>
      </c>
      <c r="F128" s="4" t="s">
        <v>1290</v>
      </c>
      <c r="G128" s="4" t="s">
        <v>37</v>
      </c>
      <c r="H128" s="4" t="s">
        <v>1291</v>
      </c>
      <c r="I128" s="4"/>
      <c r="J128" s="4" t="s">
        <v>841</v>
      </c>
      <c r="K128" s="4" t="s">
        <v>842</v>
      </c>
      <c r="L128" s="4" t="s">
        <v>1386</v>
      </c>
      <c r="M128" s="4"/>
      <c r="N128" s="4" t="s">
        <v>630</v>
      </c>
      <c r="O128" s="4"/>
    </row>
    <row r="129" customFormat="false" ht="15" hidden="false" customHeight="false" outlineLevel="0" collapsed="false">
      <c r="A129" s="4" t="s">
        <v>154</v>
      </c>
      <c r="B129" s="4" t="s">
        <v>1385</v>
      </c>
      <c r="C129" s="4" t="s">
        <v>155</v>
      </c>
      <c r="D129" s="4" t="s">
        <v>1386</v>
      </c>
      <c r="E129" s="4" t="s">
        <v>1289</v>
      </c>
      <c r="F129" s="4" t="s">
        <v>1290</v>
      </c>
      <c r="G129" s="4" t="s">
        <v>37</v>
      </c>
      <c r="H129" s="4" t="s">
        <v>1291</v>
      </c>
      <c r="I129" s="4"/>
      <c r="J129" s="4" t="s">
        <v>763</v>
      </c>
      <c r="K129" s="4" t="s">
        <v>764</v>
      </c>
      <c r="L129" s="4" t="s">
        <v>1387</v>
      </c>
      <c r="M129" s="4"/>
      <c r="N129" s="4" t="s">
        <v>214</v>
      </c>
      <c r="O129" s="4"/>
    </row>
    <row r="130" customFormat="false" ht="15" hidden="false" customHeight="false" outlineLevel="0" collapsed="false">
      <c r="A130" s="4" t="s">
        <v>154</v>
      </c>
      <c r="B130" s="4" t="s">
        <v>1385</v>
      </c>
      <c r="C130" s="4" t="s">
        <v>155</v>
      </c>
      <c r="D130" s="4" t="s">
        <v>1386</v>
      </c>
      <c r="E130" s="4" t="s">
        <v>1289</v>
      </c>
      <c r="F130" s="4" t="s">
        <v>1290</v>
      </c>
      <c r="G130" s="4" t="s">
        <v>37</v>
      </c>
      <c r="H130" s="4" t="s">
        <v>1291</v>
      </c>
      <c r="I130" s="4"/>
      <c r="J130" s="4" t="s">
        <v>633</v>
      </c>
      <c r="K130" s="4" t="s">
        <v>845</v>
      </c>
      <c r="L130" s="4" t="s">
        <v>1388</v>
      </c>
      <c r="M130" s="4"/>
      <c r="N130" s="4" t="s">
        <v>630</v>
      </c>
      <c r="O130" s="4"/>
    </row>
    <row r="131" customFormat="false" ht="15" hidden="false" customHeight="false" outlineLevel="0" collapsed="false">
      <c r="A131" s="4" t="s">
        <v>154</v>
      </c>
      <c r="B131" s="4" t="s">
        <v>1385</v>
      </c>
      <c r="C131" s="4" t="s">
        <v>155</v>
      </c>
      <c r="D131" s="4" t="s">
        <v>1386</v>
      </c>
      <c r="E131" s="4" t="s">
        <v>1289</v>
      </c>
      <c r="F131" s="4" t="s">
        <v>1290</v>
      </c>
      <c r="G131" s="4" t="s">
        <v>37</v>
      </c>
      <c r="H131" s="4" t="s">
        <v>1291</v>
      </c>
      <c r="I131" s="4"/>
      <c r="J131" s="4" t="s">
        <v>769</v>
      </c>
      <c r="K131" s="4" t="s">
        <v>770</v>
      </c>
      <c r="L131" s="4" t="s">
        <v>1389</v>
      </c>
      <c r="M131" s="4" t="s">
        <v>706</v>
      </c>
      <c r="N131" s="4" t="s">
        <v>705</v>
      </c>
      <c r="O131" s="4"/>
    </row>
    <row r="132" customFormat="false" ht="15" hidden="false" customHeight="false" outlineLevel="0" collapsed="false">
      <c r="A132" s="4" t="s">
        <v>154</v>
      </c>
      <c r="B132" s="4" t="s">
        <v>1385</v>
      </c>
      <c r="C132" s="4" t="s">
        <v>155</v>
      </c>
      <c r="D132" s="4" t="s">
        <v>1386</v>
      </c>
      <c r="E132" s="4" t="s">
        <v>1289</v>
      </c>
      <c r="F132" s="4" t="s">
        <v>1290</v>
      </c>
      <c r="G132" s="4" t="s">
        <v>37</v>
      </c>
      <c r="H132" s="4" t="s">
        <v>1390</v>
      </c>
      <c r="I132" s="4"/>
      <c r="J132" s="4" t="s">
        <v>772</v>
      </c>
      <c r="K132" s="4" t="s">
        <v>847</v>
      </c>
      <c r="L132" s="4" t="s">
        <v>1391</v>
      </c>
      <c r="M132" s="4" t="s">
        <v>774</v>
      </c>
      <c r="N132" s="4" t="s">
        <v>214</v>
      </c>
      <c r="O132" s="4"/>
    </row>
    <row r="133" customFormat="false" ht="15" hidden="false" customHeight="false" outlineLevel="0" collapsed="false">
      <c r="A133" s="4" t="s">
        <v>154</v>
      </c>
      <c r="B133" s="4" t="s">
        <v>1385</v>
      </c>
      <c r="C133" s="4" t="s">
        <v>155</v>
      </c>
      <c r="D133" s="4" t="s">
        <v>1386</v>
      </c>
      <c r="E133" s="4" t="s">
        <v>1289</v>
      </c>
      <c r="F133" s="4" t="s">
        <v>1290</v>
      </c>
      <c r="G133" s="4" t="s">
        <v>37</v>
      </c>
      <c r="H133" s="4" t="s">
        <v>1390</v>
      </c>
      <c r="I133" s="4"/>
      <c r="J133" s="4" t="s">
        <v>776</v>
      </c>
      <c r="K133" s="4" t="s">
        <v>849</v>
      </c>
      <c r="L133" s="4" t="s">
        <v>1392</v>
      </c>
      <c r="M133" s="4" t="s">
        <v>774</v>
      </c>
      <c r="N133" s="4" t="s">
        <v>227</v>
      </c>
      <c r="O133" s="4"/>
    </row>
    <row r="134" customFormat="false" ht="15" hidden="false" customHeight="false" outlineLevel="0" collapsed="false">
      <c r="A134" s="4" t="s">
        <v>154</v>
      </c>
      <c r="B134" s="4" t="s">
        <v>1385</v>
      </c>
      <c r="C134" s="4" t="s">
        <v>155</v>
      </c>
      <c r="D134" s="4" t="s">
        <v>1386</v>
      </c>
      <c r="E134" s="4" t="s">
        <v>1289</v>
      </c>
      <c r="F134" s="4" t="s">
        <v>1290</v>
      </c>
      <c r="G134" s="4" t="s">
        <v>37</v>
      </c>
      <c r="H134" s="4" t="s">
        <v>1390</v>
      </c>
      <c r="I134" s="4"/>
      <c r="J134" s="4" t="s">
        <v>850</v>
      </c>
      <c r="K134" s="4" t="s">
        <v>851</v>
      </c>
      <c r="L134" s="4" t="s">
        <v>1393</v>
      </c>
      <c r="M134" s="4" t="s">
        <v>706</v>
      </c>
      <c r="N134" s="4" t="s">
        <v>214</v>
      </c>
      <c r="O134" s="4"/>
    </row>
    <row r="135" customFormat="false" ht="15" hidden="false" customHeight="false" outlineLevel="0" collapsed="false">
      <c r="A135" s="4" t="s">
        <v>154</v>
      </c>
      <c r="B135" s="4" t="s">
        <v>1385</v>
      </c>
      <c r="C135" s="4" t="s">
        <v>155</v>
      </c>
      <c r="D135" s="4" t="s">
        <v>1386</v>
      </c>
      <c r="E135" s="4" t="s">
        <v>1289</v>
      </c>
      <c r="F135" s="4" t="s">
        <v>1290</v>
      </c>
      <c r="G135" s="4" t="s">
        <v>37</v>
      </c>
      <c r="H135" s="4" t="s">
        <v>1390</v>
      </c>
      <c r="I135" s="4"/>
      <c r="J135" s="4" t="s">
        <v>853</v>
      </c>
      <c r="K135" s="4" t="s">
        <v>854</v>
      </c>
      <c r="L135" s="4" t="s">
        <v>1394</v>
      </c>
      <c r="M135" s="4" t="s">
        <v>706</v>
      </c>
      <c r="N135" s="4" t="s">
        <v>227</v>
      </c>
      <c r="O135" s="4"/>
    </row>
    <row r="136" customFormat="false" ht="23.85" hidden="false" customHeight="false" outlineLevel="0" collapsed="false">
      <c r="A136" s="4" t="s">
        <v>154</v>
      </c>
      <c r="B136" s="4" t="s">
        <v>1385</v>
      </c>
      <c r="C136" s="4" t="s">
        <v>155</v>
      </c>
      <c r="D136" s="4" t="s">
        <v>1386</v>
      </c>
      <c r="E136" s="4" t="s">
        <v>1289</v>
      </c>
      <c r="F136" s="4" t="s">
        <v>1290</v>
      </c>
      <c r="G136" s="4" t="s">
        <v>37</v>
      </c>
      <c r="H136" s="4" t="s">
        <v>1395</v>
      </c>
      <c r="I136" s="4"/>
      <c r="J136" s="4" t="s">
        <v>856</v>
      </c>
      <c r="K136" s="4" t="s">
        <v>857</v>
      </c>
      <c r="L136" s="4" t="s">
        <v>1396</v>
      </c>
      <c r="M136" s="4"/>
      <c r="N136" s="4" t="s">
        <v>214</v>
      </c>
      <c r="O136" s="4"/>
    </row>
    <row r="137" customFormat="false" ht="23.85" hidden="false" customHeight="false" outlineLevel="0" collapsed="false">
      <c r="A137" s="4" t="s">
        <v>154</v>
      </c>
      <c r="B137" s="4" t="s">
        <v>1385</v>
      </c>
      <c r="C137" s="4" t="s">
        <v>155</v>
      </c>
      <c r="D137" s="4" t="s">
        <v>1386</v>
      </c>
      <c r="E137" s="4" t="s">
        <v>1289</v>
      </c>
      <c r="F137" s="4" t="s">
        <v>1290</v>
      </c>
      <c r="G137" s="4" t="s">
        <v>37</v>
      </c>
      <c r="H137" s="4" t="s">
        <v>1395</v>
      </c>
      <c r="I137" s="4"/>
      <c r="J137" s="4" t="s">
        <v>218</v>
      </c>
      <c r="K137" s="4" t="s">
        <v>858</v>
      </c>
      <c r="L137" s="4" t="s">
        <v>1397</v>
      </c>
      <c r="M137" s="4" t="s">
        <v>184</v>
      </c>
      <c r="N137" s="4" t="s">
        <v>185</v>
      </c>
      <c r="O137" s="4"/>
    </row>
    <row r="138" customFormat="false" ht="23.85" hidden="false" customHeight="false" outlineLevel="0" collapsed="false">
      <c r="A138" s="4" t="s">
        <v>154</v>
      </c>
      <c r="B138" s="4" t="s">
        <v>1385</v>
      </c>
      <c r="C138" s="4" t="s">
        <v>155</v>
      </c>
      <c r="D138" s="4" t="s">
        <v>1386</v>
      </c>
      <c r="E138" s="4" t="s">
        <v>1289</v>
      </c>
      <c r="F138" s="4" t="s">
        <v>1290</v>
      </c>
      <c r="G138" s="4" t="s">
        <v>37</v>
      </c>
      <c r="H138" s="4" t="s">
        <v>1395</v>
      </c>
      <c r="I138" s="4"/>
      <c r="J138" s="4" t="s">
        <v>861</v>
      </c>
      <c r="K138" s="4" t="s">
        <v>862</v>
      </c>
      <c r="L138" s="4" t="s">
        <v>1398</v>
      </c>
      <c r="M138" s="4"/>
      <c r="N138" s="4" t="s">
        <v>227</v>
      </c>
      <c r="O138" s="4"/>
    </row>
    <row r="139" customFormat="false" ht="23.85" hidden="false" customHeight="false" outlineLevel="0" collapsed="false">
      <c r="A139" s="4" t="s">
        <v>154</v>
      </c>
      <c r="B139" s="4" t="s">
        <v>1385</v>
      </c>
      <c r="C139" s="4" t="s">
        <v>155</v>
      </c>
      <c r="D139" s="4" t="s">
        <v>1386</v>
      </c>
      <c r="E139" s="4" t="s">
        <v>1289</v>
      </c>
      <c r="F139" s="4" t="s">
        <v>1290</v>
      </c>
      <c r="G139" s="4" t="s">
        <v>37</v>
      </c>
      <c r="H139" s="4" t="s">
        <v>1395</v>
      </c>
      <c r="I139" s="4"/>
      <c r="J139" s="4" t="s">
        <v>863</v>
      </c>
      <c r="K139" s="4" t="s">
        <v>864</v>
      </c>
      <c r="L139" s="4" t="s">
        <v>1309</v>
      </c>
      <c r="M139" s="4"/>
      <c r="N139" s="4" t="s">
        <v>227</v>
      </c>
      <c r="O139" s="4"/>
    </row>
    <row r="140" customFormat="false" ht="23.85" hidden="false" customHeight="false" outlineLevel="0" collapsed="false">
      <c r="A140" s="4" t="s">
        <v>154</v>
      </c>
      <c r="B140" s="4" t="s">
        <v>1385</v>
      </c>
      <c r="C140" s="4" t="s">
        <v>155</v>
      </c>
      <c r="D140" s="4" t="s">
        <v>1386</v>
      </c>
      <c r="E140" s="4" t="s">
        <v>1289</v>
      </c>
      <c r="F140" s="4" t="s">
        <v>1290</v>
      </c>
      <c r="G140" s="4" t="s">
        <v>37</v>
      </c>
      <c r="H140" s="4" t="s">
        <v>1395</v>
      </c>
      <c r="I140" s="4"/>
      <c r="J140" s="4" t="s">
        <v>220</v>
      </c>
      <c r="K140" s="4" t="s">
        <v>865</v>
      </c>
      <c r="L140" s="4" t="s">
        <v>1399</v>
      </c>
      <c r="M140" s="4" t="s">
        <v>184</v>
      </c>
      <c r="N140" s="4" t="s">
        <v>214</v>
      </c>
      <c r="O140" s="4"/>
    </row>
    <row r="141" customFormat="false" ht="23.85" hidden="false" customHeight="false" outlineLevel="0" collapsed="false">
      <c r="A141" s="4" t="s">
        <v>154</v>
      </c>
      <c r="B141" s="4" t="s">
        <v>1385</v>
      </c>
      <c r="C141" s="4" t="s">
        <v>155</v>
      </c>
      <c r="D141" s="4" t="s">
        <v>1386</v>
      </c>
      <c r="E141" s="4" t="s">
        <v>1289</v>
      </c>
      <c r="F141" s="4" t="s">
        <v>1290</v>
      </c>
      <c r="G141" s="4" t="s">
        <v>37</v>
      </c>
      <c r="H141" s="4" t="s">
        <v>1395</v>
      </c>
      <c r="I141" s="4"/>
      <c r="J141" s="4" t="s">
        <v>868</v>
      </c>
      <c r="K141" s="4" t="s">
        <v>869</v>
      </c>
      <c r="L141" s="4" t="s">
        <v>1400</v>
      </c>
      <c r="M141" s="4"/>
      <c r="N141" s="4" t="s">
        <v>214</v>
      </c>
      <c r="O141" s="4"/>
    </row>
    <row r="142" customFormat="false" ht="23.85" hidden="false" customHeight="false" outlineLevel="0" collapsed="false">
      <c r="A142" s="4" t="s">
        <v>154</v>
      </c>
      <c r="B142" s="4" t="s">
        <v>1385</v>
      </c>
      <c r="C142" s="4" t="s">
        <v>155</v>
      </c>
      <c r="D142" s="4" t="s">
        <v>1386</v>
      </c>
      <c r="E142" s="4" t="s">
        <v>1289</v>
      </c>
      <c r="F142" s="4" t="s">
        <v>1290</v>
      </c>
      <c r="G142" s="4" t="s">
        <v>37</v>
      </c>
      <c r="H142" s="4" t="s">
        <v>1395</v>
      </c>
      <c r="I142" s="4"/>
      <c r="J142" s="4" t="s">
        <v>870</v>
      </c>
      <c r="K142" s="4" t="s">
        <v>871</v>
      </c>
      <c r="L142" s="4" t="s">
        <v>1401</v>
      </c>
      <c r="M142" s="4" t="s">
        <v>184</v>
      </c>
      <c r="N142" s="4" t="s">
        <v>214</v>
      </c>
      <c r="O142" s="4"/>
    </row>
    <row r="143" customFormat="false" ht="23.85" hidden="false" customHeight="false" outlineLevel="0" collapsed="false">
      <c r="A143" s="4" t="s">
        <v>154</v>
      </c>
      <c r="B143" s="4" t="s">
        <v>1385</v>
      </c>
      <c r="C143" s="4" t="s">
        <v>155</v>
      </c>
      <c r="D143" s="4" t="s">
        <v>1386</v>
      </c>
      <c r="E143" s="4" t="s">
        <v>1289</v>
      </c>
      <c r="F143" s="4" t="s">
        <v>1290</v>
      </c>
      <c r="G143" s="4" t="s">
        <v>37</v>
      </c>
      <c r="H143" s="4" t="s">
        <v>1395</v>
      </c>
      <c r="I143" s="4"/>
      <c r="J143" s="4" t="s">
        <v>873</v>
      </c>
      <c r="K143" s="4" t="s">
        <v>874</v>
      </c>
      <c r="L143" s="4" t="s">
        <v>1402</v>
      </c>
      <c r="M143" s="4" t="s">
        <v>875</v>
      </c>
      <c r="N143" s="4" t="s">
        <v>214</v>
      </c>
      <c r="O143" s="4"/>
    </row>
    <row r="144" customFormat="false" ht="23.85" hidden="false" customHeight="false" outlineLevel="0" collapsed="false">
      <c r="A144" s="4" t="s">
        <v>154</v>
      </c>
      <c r="B144" s="4" t="s">
        <v>1385</v>
      </c>
      <c r="C144" s="4" t="s">
        <v>155</v>
      </c>
      <c r="D144" s="4" t="s">
        <v>1386</v>
      </c>
      <c r="E144" s="4" t="s">
        <v>1289</v>
      </c>
      <c r="F144" s="4" t="s">
        <v>1290</v>
      </c>
      <c r="G144" s="4" t="s">
        <v>37</v>
      </c>
      <c r="H144" s="4" t="s">
        <v>1395</v>
      </c>
      <c r="I144" s="4"/>
      <c r="J144" s="4" t="s">
        <v>876</v>
      </c>
      <c r="K144" s="4" t="s">
        <v>877</v>
      </c>
      <c r="L144" s="4" t="s">
        <v>1403</v>
      </c>
      <c r="M144" s="4" t="s">
        <v>184</v>
      </c>
      <c r="N144" s="4" t="s">
        <v>185</v>
      </c>
      <c r="O144" s="4"/>
    </row>
    <row r="145" customFormat="false" ht="23.85" hidden="false" customHeight="false" outlineLevel="0" collapsed="false">
      <c r="A145" s="4" t="s">
        <v>154</v>
      </c>
      <c r="B145" s="4" t="s">
        <v>1385</v>
      </c>
      <c r="C145" s="4" t="s">
        <v>155</v>
      </c>
      <c r="D145" s="4" t="s">
        <v>1386</v>
      </c>
      <c r="E145" s="4" t="s">
        <v>1289</v>
      </c>
      <c r="F145" s="4" t="s">
        <v>1290</v>
      </c>
      <c r="G145" s="4" t="s">
        <v>37</v>
      </c>
      <c r="H145" s="4" t="s">
        <v>1395</v>
      </c>
      <c r="I145" s="4"/>
      <c r="J145" s="4" t="s">
        <v>879</v>
      </c>
      <c r="K145" s="4" t="s">
        <v>880</v>
      </c>
      <c r="L145" s="4" t="s">
        <v>1404</v>
      </c>
      <c r="M145" s="4"/>
      <c r="N145" s="4" t="s">
        <v>214</v>
      </c>
      <c r="O145" s="4"/>
    </row>
    <row r="146" customFormat="false" ht="23.85" hidden="false" customHeight="false" outlineLevel="0" collapsed="false">
      <c r="A146" s="4" t="s">
        <v>154</v>
      </c>
      <c r="B146" s="4" t="s">
        <v>1385</v>
      </c>
      <c r="C146" s="4" t="s">
        <v>155</v>
      </c>
      <c r="D146" s="4" t="s">
        <v>1386</v>
      </c>
      <c r="E146" s="4" t="s">
        <v>1289</v>
      </c>
      <c r="F146" s="4" t="s">
        <v>1290</v>
      </c>
      <c r="G146" s="4" t="s">
        <v>37</v>
      </c>
      <c r="H146" s="4" t="s">
        <v>1395</v>
      </c>
      <c r="I146" s="4"/>
      <c r="J146" s="4" t="s">
        <v>881</v>
      </c>
      <c r="K146" s="4" t="s">
        <v>882</v>
      </c>
      <c r="L146" s="4" t="s">
        <v>1405</v>
      </c>
      <c r="M146" s="4"/>
      <c r="N146" s="4" t="s">
        <v>214</v>
      </c>
      <c r="O146" s="4"/>
    </row>
    <row r="147" customFormat="false" ht="23.85" hidden="false" customHeight="false" outlineLevel="0" collapsed="false">
      <c r="A147" s="4" t="s">
        <v>154</v>
      </c>
      <c r="B147" s="4" t="s">
        <v>1385</v>
      </c>
      <c r="C147" s="4" t="s">
        <v>155</v>
      </c>
      <c r="D147" s="4" t="s">
        <v>1386</v>
      </c>
      <c r="E147" s="4" t="s">
        <v>1289</v>
      </c>
      <c r="F147" s="4" t="s">
        <v>1290</v>
      </c>
      <c r="G147" s="4" t="s">
        <v>37</v>
      </c>
      <c r="H147" s="4" t="s">
        <v>1395</v>
      </c>
      <c r="I147" s="4"/>
      <c r="J147" s="4" t="s">
        <v>883</v>
      </c>
      <c r="K147" s="4" t="s">
        <v>884</v>
      </c>
      <c r="L147" s="4" t="s">
        <v>1406</v>
      </c>
      <c r="M147" s="4" t="s">
        <v>241</v>
      </c>
      <c r="N147" s="4" t="s">
        <v>214</v>
      </c>
      <c r="O147" s="4"/>
    </row>
    <row r="148" customFormat="false" ht="15" hidden="false" customHeight="false" outlineLevel="0" collapsed="false">
      <c r="A148" s="4" t="s">
        <v>154</v>
      </c>
      <c r="B148" s="4" t="s">
        <v>1385</v>
      </c>
      <c r="C148" s="4" t="s">
        <v>155</v>
      </c>
      <c r="D148" s="4" t="s">
        <v>1386</v>
      </c>
      <c r="E148" s="4" t="s">
        <v>1289</v>
      </c>
      <c r="F148" s="4" t="s">
        <v>1290</v>
      </c>
      <c r="G148" s="4" t="s">
        <v>37</v>
      </c>
      <c r="H148" s="4" t="s">
        <v>1407</v>
      </c>
      <c r="I148" s="4" t="n">
        <v>1</v>
      </c>
      <c r="J148" s="4" t="s">
        <v>889</v>
      </c>
      <c r="K148" s="4" t="s">
        <v>890</v>
      </c>
      <c r="L148" s="4" t="s">
        <v>1408</v>
      </c>
      <c r="M148" s="4"/>
      <c r="N148" s="4" t="s">
        <v>214</v>
      </c>
      <c r="O148" s="4"/>
    </row>
    <row r="149" customFormat="false" ht="15" hidden="false" customHeight="false" outlineLevel="0" collapsed="false">
      <c r="A149" s="4" t="s">
        <v>154</v>
      </c>
      <c r="B149" s="4" t="s">
        <v>1385</v>
      </c>
      <c r="C149" s="4" t="s">
        <v>155</v>
      </c>
      <c r="D149" s="4" t="s">
        <v>1386</v>
      </c>
      <c r="E149" s="4" t="s">
        <v>1289</v>
      </c>
      <c r="F149" s="4" t="s">
        <v>1290</v>
      </c>
      <c r="G149" s="4" t="s">
        <v>37</v>
      </c>
      <c r="H149" s="4" t="s">
        <v>1407</v>
      </c>
      <c r="I149" s="4" t="n">
        <v>1</v>
      </c>
      <c r="J149" s="4" t="s">
        <v>891</v>
      </c>
      <c r="K149" s="4" t="s">
        <v>892</v>
      </c>
      <c r="L149" s="4" t="s">
        <v>1309</v>
      </c>
      <c r="M149" s="4"/>
      <c r="N149" s="4" t="s">
        <v>227</v>
      </c>
      <c r="O149" s="4"/>
    </row>
    <row r="150" customFormat="false" ht="15" hidden="false" customHeight="false" outlineLevel="0" collapsed="false">
      <c r="A150" s="4" t="s">
        <v>154</v>
      </c>
      <c r="B150" s="4" t="s">
        <v>1385</v>
      </c>
      <c r="C150" s="4" t="s">
        <v>155</v>
      </c>
      <c r="D150" s="4" t="s">
        <v>1386</v>
      </c>
      <c r="E150" s="4" t="s">
        <v>1289</v>
      </c>
      <c r="F150" s="4" t="s">
        <v>1290</v>
      </c>
      <c r="G150" s="4" t="s">
        <v>37</v>
      </c>
      <c r="H150" s="4" t="s">
        <v>1407</v>
      </c>
      <c r="I150" s="4" t="n">
        <v>1</v>
      </c>
      <c r="J150" s="4" t="s">
        <v>893</v>
      </c>
      <c r="K150" s="4" t="s">
        <v>255</v>
      </c>
      <c r="L150" s="4" t="s">
        <v>1409</v>
      </c>
      <c r="M150" s="4" t="s">
        <v>226</v>
      </c>
      <c r="N150" s="4" t="s">
        <v>227</v>
      </c>
      <c r="O150" s="4"/>
    </row>
    <row r="151" customFormat="false" ht="15" hidden="false" customHeight="false" outlineLevel="0" collapsed="false">
      <c r="A151" s="4" t="s">
        <v>154</v>
      </c>
      <c r="B151" s="4" t="s">
        <v>1385</v>
      </c>
      <c r="C151" s="4" t="s">
        <v>155</v>
      </c>
      <c r="D151" s="4" t="s">
        <v>1386</v>
      </c>
      <c r="E151" s="4" t="s">
        <v>1289</v>
      </c>
      <c r="F151" s="4" t="s">
        <v>1290</v>
      </c>
      <c r="G151" s="4" t="s">
        <v>37</v>
      </c>
      <c r="H151" s="4" t="s">
        <v>1407</v>
      </c>
      <c r="I151" s="4" t="n">
        <v>1</v>
      </c>
      <c r="J151" s="4" t="s">
        <v>896</v>
      </c>
      <c r="K151" s="4" t="s">
        <v>897</v>
      </c>
      <c r="L151" s="4" t="s">
        <v>1405</v>
      </c>
      <c r="M151" s="4"/>
      <c r="N151" s="4" t="s">
        <v>227</v>
      </c>
      <c r="O151" s="4"/>
    </row>
    <row r="152" customFormat="false" ht="15" hidden="false" customHeight="false" outlineLevel="0" collapsed="false">
      <c r="A152" s="4" t="s">
        <v>154</v>
      </c>
      <c r="B152" s="4" t="s">
        <v>1385</v>
      </c>
      <c r="C152" s="4" t="s">
        <v>155</v>
      </c>
      <c r="D152" s="4" t="s">
        <v>1386</v>
      </c>
      <c r="E152" s="4" t="s">
        <v>1289</v>
      </c>
      <c r="F152" s="4" t="s">
        <v>1290</v>
      </c>
      <c r="G152" s="4" t="s">
        <v>37</v>
      </c>
      <c r="H152" s="4" t="s">
        <v>1407</v>
      </c>
      <c r="I152" s="4" t="n">
        <v>1</v>
      </c>
      <c r="J152" s="4" t="s">
        <v>699</v>
      </c>
      <c r="K152" s="4" t="s">
        <v>700</v>
      </c>
      <c r="L152" s="4" t="s">
        <v>37</v>
      </c>
      <c r="M152" s="4"/>
      <c r="N152" s="4" t="s">
        <v>227</v>
      </c>
      <c r="O152" s="4"/>
    </row>
    <row r="153" customFormat="false" ht="15" hidden="false" customHeight="false" outlineLevel="0" collapsed="false">
      <c r="A153" s="4" t="s">
        <v>154</v>
      </c>
      <c r="B153" s="4" t="s">
        <v>1385</v>
      </c>
      <c r="C153" s="4" t="s">
        <v>155</v>
      </c>
      <c r="D153" s="4" t="s">
        <v>1386</v>
      </c>
      <c r="E153" s="4" t="s">
        <v>1289</v>
      </c>
      <c r="F153" s="4" t="s">
        <v>1290</v>
      </c>
      <c r="G153" s="4" t="s">
        <v>37</v>
      </c>
      <c r="H153" s="4" t="s">
        <v>1407</v>
      </c>
      <c r="I153" s="4" t="n">
        <v>2</v>
      </c>
      <c r="J153" s="4" t="s">
        <v>889</v>
      </c>
      <c r="K153" s="4" t="s">
        <v>890</v>
      </c>
      <c r="L153" s="4" t="s">
        <v>1282</v>
      </c>
      <c r="M153" s="4"/>
      <c r="N153" s="4" t="s">
        <v>214</v>
      </c>
      <c r="O153" s="4"/>
    </row>
    <row r="154" customFormat="false" ht="15" hidden="false" customHeight="false" outlineLevel="0" collapsed="false">
      <c r="A154" s="4" t="s">
        <v>154</v>
      </c>
      <c r="B154" s="4" t="s">
        <v>1385</v>
      </c>
      <c r="C154" s="4" t="s">
        <v>155</v>
      </c>
      <c r="D154" s="4" t="s">
        <v>1386</v>
      </c>
      <c r="E154" s="4" t="s">
        <v>1289</v>
      </c>
      <c r="F154" s="4" t="s">
        <v>1290</v>
      </c>
      <c r="G154" s="4" t="s">
        <v>37</v>
      </c>
      <c r="H154" s="4" t="s">
        <v>1407</v>
      </c>
      <c r="I154" s="4" t="n">
        <v>2</v>
      </c>
      <c r="J154" s="4" t="s">
        <v>891</v>
      </c>
      <c r="K154" s="4" t="s">
        <v>892</v>
      </c>
      <c r="L154" s="4" t="s">
        <v>1309</v>
      </c>
      <c r="M154" s="4"/>
      <c r="N154" s="4" t="s">
        <v>227</v>
      </c>
      <c r="O154" s="4"/>
    </row>
    <row r="155" customFormat="false" ht="15" hidden="false" customHeight="false" outlineLevel="0" collapsed="false">
      <c r="A155" s="4" t="s">
        <v>154</v>
      </c>
      <c r="B155" s="4" t="s">
        <v>1385</v>
      </c>
      <c r="C155" s="4" t="s">
        <v>155</v>
      </c>
      <c r="D155" s="4" t="s">
        <v>1386</v>
      </c>
      <c r="E155" s="4" t="s">
        <v>1289</v>
      </c>
      <c r="F155" s="4" t="s">
        <v>1290</v>
      </c>
      <c r="G155" s="4" t="s">
        <v>37</v>
      </c>
      <c r="H155" s="4" t="s">
        <v>1407</v>
      </c>
      <c r="I155" s="4" t="n">
        <v>2</v>
      </c>
      <c r="J155" s="4" t="s">
        <v>893</v>
      </c>
      <c r="K155" s="4" t="s">
        <v>255</v>
      </c>
      <c r="L155" s="4" t="s">
        <v>1410</v>
      </c>
      <c r="M155" s="4" t="s">
        <v>226</v>
      </c>
      <c r="N155" s="4" t="s">
        <v>227</v>
      </c>
      <c r="O155" s="4"/>
    </row>
    <row r="156" customFormat="false" ht="15" hidden="false" customHeight="false" outlineLevel="0" collapsed="false">
      <c r="A156" s="4" t="s">
        <v>154</v>
      </c>
      <c r="B156" s="4" t="s">
        <v>1385</v>
      </c>
      <c r="C156" s="4" t="s">
        <v>155</v>
      </c>
      <c r="D156" s="4" t="s">
        <v>1386</v>
      </c>
      <c r="E156" s="4" t="s">
        <v>1289</v>
      </c>
      <c r="F156" s="4" t="s">
        <v>1290</v>
      </c>
      <c r="G156" s="4" t="s">
        <v>37</v>
      </c>
      <c r="H156" s="4" t="s">
        <v>1407</v>
      </c>
      <c r="I156" s="4" t="n">
        <v>2</v>
      </c>
      <c r="J156" s="4" t="s">
        <v>896</v>
      </c>
      <c r="K156" s="4" t="s">
        <v>897</v>
      </c>
      <c r="L156" s="4" t="s">
        <v>1411</v>
      </c>
      <c r="M156" s="4"/>
      <c r="N156" s="4" t="s">
        <v>227</v>
      </c>
      <c r="O156" s="4"/>
    </row>
    <row r="157" customFormat="false" ht="15" hidden="false" customHeight="false" outlineLevel="0" collapsed="false">
      <c r="A157" s="4" t="s">
        <v>154</v>
      </c>
      <c r="B157" s="4" t="s">
        <v>1385</v>
      </c>
      <c r="C157" s="4" t="s">
        <v>155</v>
      </c>
      <c r="D157" s="4" t="s">
        <v>1386</v>
      </c>
      <c r="E157" s="4" t="s">
        <v>1289</v>
      </c>
      <c r="F157" s="4" t="s">
        <v>1290</v>
      </c>
      <c r="G157" s="4" t="s">
        <v>37</v>
      </c>
      <c r="H157" s="4" t="s">
        <v>1407</v>
      </c>
      <c r="I157" s="4" t="n">
        <v>2</v>
      </c>
      <c r="J157" s="4" t="s">
        <v>699</v>
      </c>
      <c r="K157" s="4" t="s">
        <v>700</v>
      </c>
      <c r="L157" s="4" t="s">
        <v>37</v>
      </c>
      <c r="M157" s="4"/>
      <c r="N157" s="4" t="s">
        <v>227</v>
      </c>
      <c r="O157" s="4"/>
    </row>
    <row r="158" customFormat="false" ht="15" hidden="false" customHeight="false" outlineLevel="0" collapsed="false">
      <c r="A158" s="4" t="s">
        <v>154</v>
      </c>
      <c r="B158" s="4" t="s">
        <v>1385</v>
      </c>
      <c r="C158" s="4" t="s">
        <v>155</v>
      </c>
      <c r="D158" s="4" t="s">
        <v>1386</v>
      </c>
      <c r="E158" s="4" t="s">
        <v>1289</v>
      </c>
      <c r="F158" s="4" t="s">
        <v>1290</v>
      </c>
      <c r="G158" s="4" t="s">
        <v>37</v>
      </c>
      <c r="H158" s="4" t="s">
        <v>1407</v>
      </c>
      <c r="I158" s="4" t="n">
        <v>3</v>
      </c>
      <c r="J158" s="4" t="s">
        <v>889</v>
      </c>
      <c r="K158" s="4" t="s">
        <v>890</v>
      </c>
      <c r="L158" s="4" t="s">
        <v>1412</v>
      </c>
      <c r="M158" s="4"/>
      <c r="N158" s="4" t="s">
        <v>214</v>
      </c>
      <c r="O158" s="4"/>
    </row>
    <row r="159" customFormat="false" ht="15" hidden="false" customHeight="false" outlineLevel="0" collapsed="false">
      <c r="A159" s="4" t="s">
        <v>154</v>
      </c>
      <c r="B159" s="4" t="s">
        <v>1385</v>
      </c>
      <c r="C159" s="4" t="s">
        <v>155</v>
      </c>
      <c r="D159" s="4" t="s">
        <v>1386</v>
      </c>
      <c r="E159" s="4" t="s">
        <v>1289</v>
      </c>
      <c r="F159" s="4" t="s">
        <v>1290</v>
      </c>
      <c r="G159" s="4" t="s">
        <v>37</v>
      </c>
      <c r="H159" s="4" t="s">
        <v>1407</v>
      </c>
      <c r="I159" s="4" t="n">
        <v>3</v>
      </c>
      <c r="J159" s="4" t="s">
        <v>891</v>
      </c>
      <c r="K159" s="4" t="s">
        <v>892</v>
      </c>
      <c r="L159" s="4" t="s">
        <v>1309</v>
      </c>
      <c r="M159" s="4"/>
      <c r="N159" s="4" t="s">
        <v>227</v>
      </c>
      <c r="O159" s="4"/>
    </row>
    <row r="160" customFormat="false" ht="15" hidden="false" customHeight="false" outlineLevel="0" collapsed="false">
      <c r="A160" s="4" t="s">
        <v>154</v>
      </c>
      <c r="B160" s="4" t="s">
        <v>1385</v>
      </c>
      <c r="C160" s="4" t="s">
        <v>155</v>
      </c>
      <c r="D160" s="4" t="s">
        <v>1386</v>
      </c>
      <c r="E160" s="4" t="s">
        <v>1289</v>
      </c>
      <c r="F160" s="4" t="s">
        <v>1290</v>
      </c>
      <c r="G160" s="4" t="s">
        <v>37</v>
      </c>
      <c r="H160" s="4" t="s">
        <v>1407</v>
      </c>
      <c r="I160" s="4" t="n">
        <v>3</v>
      </c>
      <c r="J160" s="4" t="s">
        <v>893</v>
      </c>
      <c r="K160" s="4" t="s">
        <v>255</v>
      </c>
      <c r="L160" s="4" t="s">
        <v>1413</v>
      </c>
      <c r="M160" s="4" t="s">
        <v>226</v>
      </c>
      <c r="N160" s="4" t="s">
        <v>227</v>
      </c>
      <c r="O160" s="4" t="s">
        <v>1283</v>
      </c>
    </row>
    <row r="161" customFormat="false" ht="15" hidden="false" customHeight="false" outlineLevel="0" collapsed="false">
      <c r="A161" s="4" t="s">
        <v>154</v>
      </c>
      <c r="B161" s="4" t="s">
        <v>1385</v>
      </c>
      <c r="C161" s="4" t="s">
        <v>155</v>
      </c>
      <c r="D161" s="4" t="s">
        <v>1386</v>
      </c>
      <c r="E161" s="4" t="s">
        <v>1289</v>
      </c>
      <c r="F161" s="4" t="s">
        <v>1290</v>
      </c>
      <c r="G161" s="4" t="s">
        <v>37</v>
      </c>
      <c r="H161" s="4" t="s">
        <v>1407</v>
      </c>
      <c r="I161" s="4" t="n">
        <v>3</v>
      </c>
      <c r="J161" s="4" t="s">
        <v>896</v>
      </c>
      <c r="K161" s="4" t="s">
        <v>897</v>
      </c>
      <c r="L161" s="4" t="s">
        <v>1414</v>
      </c>
      <c r="M161" s="4"/>
      <c r="N161" s="4" t="s">
        <v>227</v>
      </c>
      <c r="O161" s="4"/>
    </row>
    <row r="162" customFormat="false" ht="15" hidden="false" customHeight="false" outlineLevel="0" collapsed="false">
      <c r="A162" s="4" t="s">
        <v>154</v>
      </c>
      <c r="B162" s="4" t="s">
        <v>1385</v>
      </c>
      <c r="C162" s="4" t="s">
        <v>155</v>
      </c>
      <c r="D162" s="4" t="s">
        <v>1386</v>
      </c>
      <c r="E162" s="4" t="s">
        <v>1289</v>
      </c>
      <c r="F162" s="4" t="s">
        <v>1290</v>
      </c>
      <c r="G162" s="4" t="s">
        <v>37</v>
      </c>
      <c r="H162" s="4" t="s">
        <v>1407</v>
      </c>
      <c r="I162" s="4" t="n">
        <v>3</v>
      </c>
      <c r="J162" s="4" t="s">
        <v>699</v>
      </c>
      <c r="K162" s="4" t="s">
        <v>700</v>
      </c>
      <c r="L162" s="4" t="s">
        <v>37</v>
      </c>
      <c r="M162" s="4"/>
      <c r="N162" s="4" t="s">
        <v>227</v>
      </c>
      <c r="O162" s="4"/>
    </row>
    <row r="163" customFormat="false" ht="15" hidden="false" customHeight="false" outlineLevel="0" collapsed="false">
      <c r="A163" s="4" t="s">
        <v>154</v>
      </c>
      <c r="B163" s="4" t="s">
        <v>1385</v>
      </c>
      <c r="C163" s="4" t="s">
        <v>155</v>
      </c>
      <c r="D163" s="4" t="s">
        <v>1386</v>
      </c>
      <c r="E163" s="4" t="s">
        <v>1289</v>
      </c>
      <c r="F163" s="4" t="s">
        <v>1290</v>
      </c>
      <c r="G163" s="4" t="s">
        <v>37</v>
      </c>
      <c r="H163" s="4" t="s">
        <v>1336</v>
      </c>
      <c r="I163" s="4"/>
      <c r="J163" s="4" t="s">
        <v>899</v>
      </c>
      <c r="K163" s="4" t="s">
        <v>900</v>
      </c>
      <c r="L163" s="4" t="s">
        <v>1415</v>
      </c>
      <c r="M163" s="4" t="s">
        <v>706</v>
      </c>
      <c r="N163" s="4" t="s">
        <v>705</v>
      </c>
      <c r="O163" s="4"/>
    </row>
    <row r="164" customFormat="false" ht="15" hidden="false" customHeight="false" outlineLevel="0" collapsed="false">
      <c r="A164" s="4" t="s">
        <v>154</v>
      </c>
      <c r="B164" s="4" t="s">
        <v>1385</v>
      </c>
      <c r="C164" s="4" t="s">
        <v>155</v>
      </c>
      <c r="D164" s="4" t="s">
        <v>1386</v>
      </c>
      <c r="E164" s="4" t="s">
        <v>1289</v>
      </c>
      <c r="F164" s="4" t="s">
        <v>1290</v>
      </c>
      <c r="G164" s="4" t="s">
        <v>37</v>
      </c>
      <c r="H164" s="4" t="s">
        <v>1336</v>
      </c>
      <c r="I164" s="4"/>
      <c r="J164" s="4" t="s">
        <v>826</v>
      </c>
      <c r="K164" s="4" t="s">
        <v>901</v>
      </c>
      <c r="L164" s="4" t="s">
        <v>1416</v>
      </c>
      <c r="M164" s="4" t="s">
        <v>241</v>
      </c>
      <c r="N164" s="4" t="s">
        <v>214</v>
      </c>
      <c r="O164" s="4"/>
    </row>
    <row r="165" customFormat="false" ht="15" hidden="false" customHeight="false" outlineLevel="0" collapsed="false">
      <c r="A165" s="4" t="s">
        <v>154</v>
      </c>
      <c r="B165" s="4" t="s">
        <v>1385</v>
      </c>
      <c r="C165" s="4" t="s">
        <v>155</v>
      </c>
      <c r="D165" s="4" t="s">
        <v>1386</v>
      </c>
      <c r="E165" s="4" t="s">
        <v>1289</v>
      </c>
      <c r="F165" s="4" t="s">
        <v>1290</v>
      </c>
      <c r="G165" s="4" t="s">
        <v>37</v>
      </c>
      <c r="H165" s="4" t="s">
        <v>1336</v>
      </c>
      <c r="I165" s="4"/>
      <c r="J165" s="4" t="s">
        <v>839</v>
      </c>
      <c r="K165" s="4" t="s">
        <v>840</v>
      </c>
      <c r="L165" s="4"/>
      <c r="M165" s="4"/>
      <c r="N165" s="4" t="s">
        <v>227</v>
      </c>
      <c r="O165" s="4"/>
    </row>
    <row r="166" customFormat="false" ht="15" hidden="false" customHeight="false" outlineLevel="0" collapsed="false">
      <c r="A166" s="4" t="s">
        <v>154</v>
      </c>
      <c r="B166" s="4" t="s">
        <v>1385</v>
      </c>
      <c r="C166" s="4" t="s">
        <v>155</v>
      </c>
      <c r="D166" s="4" t="s">
        <v>1386</v>
      </c>
      <c r="E166" s="4" t="s">
        <v>1289</v>
      </c>
      <c r="F166" s="4" t="s">
        <v>1290</v>
      </c>
      <c r="G166" s="4" t="s">
        <v>37</v>
      </c>
      <c r="H166" s="4" t="s">
        <v>1336</v>
      </c>
      <c r="I166" s="4"/>
      <c r="J166" s="4" t="s">
        <v>699</v>
      </c>
      <c r="K166" s="4" t="s">
        <v>700</v>
      </c>
      <c r="L166" s="4" t="s">
        <v>37</v>
      </c>
      <c r="M166" s="4"/>
      <c r="N166" s="4" t="s">
        <v>227</v>
      </c>
      <c r="O166" s="4"/>
    </row>
    <row r="167" customFormat="false" ht="15" hidden="false" customHeight="false" outlineLevel="0" collapsed="false">
      <c r="A167" s="4" t="s">
        <v>611</v>
      </c>
      <c r="B167" s="4" t="s">
        <v>1417</v>
      </c>
      <c r="C167" s="4" t="s">
        <v>155</v>
      </c>
      <c r="D167" s="4" t="s">
        <v>1386</v>
      </c>
      <c r="E167" s="4" t="s">
        <v>1276</v>
      </c>
      <c r="F167" s="4" t="s">
        <v>1358</v>
      </c>
      <c r="G167" s="4" t="s">
        <v>31</v>
      </c>
      <c r="H167" s="4" t="s">
        <v>1418</v>
      </c>
      <c r="I167" s="4"/>
      <c r="J167" s="4" t="s">
        <v>636</v>
      </c>
      <c r="K167" s="4" t="s">
        <v>1147</v>
      </c>
      <c r="L167" s="4" t="s">
        <v>155</v>
      </c>
      <c r="M167" s="4"/>
      <c r="N167" s="4" t="s">
        <v>214</v>
      </c>
      <c r="O167" s="4"/>
    </row>
    <row r="168" customFormat="false" ht="15" hidden="false" customHeight="false" outlineLevel="0" collapsed="false">
      <c r="A168" s="4" t="s">
        <v>611</v>
      </c>
      <c r="B168" s="4" t="s">
        <v>1417</v>
      </c>
      <c r="C168" s="4" t="s">
        <v>155</v>
      </c>
      <c r="D168" s="4" t="s">
        <v>1386</v>
      </c>
      <c r="E168" s="4" t="s">
        <v>1276</v>
      </c>
      <c r="F168" s="4" t="s">
        <v>1358</v>
      </c>
      <c r="G168" s="4" t="s">
        <v>31</v>
      </c>
      <c r="H168" s="4" t="s">
        <v>1418</v>
      </c>
      <c r="I168" s="4"/>
      <c r="J168" s="4" t="s">
        <v>1191</v>
      </c>
      <c r="K168" s="4" t="s">
        <v>1192</v>
      </c>
      <c r="L168" s="4" t="s">
        <v>1386</v>
      </c>
      <c r="M168" s="4"/>
      <c r="N168" s="4" t="s">
        <v>630</v>
      </c>
      <c r="O168" s="4"/>
    </row>
    <row r="169" customFormat="false" ht="23.85" hidden="false" customHeight="false" outlineLevel="0" collapsed="false">
      <c r="A169" s="4" t="s">
        <v>611</v>
      </c>
      <c r="B169" s="4" t="s">
        <v>1417</v>
      </c>
      <c r="C169" s="4" t="s">
        <v>155</v>
      </c>
      <c r="D169" s="4" t="s">
        <v>1386</v>
      </c>
      <c r="E169" s="4" t="s">
        <v>1276</v>
      </c>
      <c r="F169" s="4" t="s">
        <v>1358</v>
      </c>
      <c r="G169" s="4" t="s">
        <v>31</v>
      </c>
      <c r="H169" s="4" t="s">
        <v>1418</v>
      </c>
      <c r="I169" s="4"/>
      <c r="J169" s="4" t="s">
        <v>1193</v>
      </c>
      <c r="K169" s="4" t="s">
        <v>1194</v>
      </c>
      <c r="L169" s="4" t="s">
        <v>151</v>
      </c>
      <c r="M169" s="4"/>
      <c r="N169" s="4" t="s">
        <v>630</v>
      </c>
      <c r="O169" s="4"/>
    </row>
    <row r="170" customFormat="false" ht="15" hidden="false" customHeight="false" outlineLevel="0" collapsed="false">
      <c r="A170" s="4" t="s">
        <v>611</v>
      </c>
      <c r="B170" s="4" t="s">
        <v>1417</v>
      </c>
      <c r="C170" s="4" t="s">
        <v>155</v>
      </c>
      <c r="D170" s="4" t="s">
        <v>1386</v>
      </c>
      <c r="E170" s="4" t="s">
        <v>1276</v>
      </c>
      <c r="F170" s="4" t="s">
        <v>1358</v>
      </c>
      <c r="G170" s="4" t="s">
        <v>31</v>
      </c>
      <c r="H170" s="4" t="s">
        <v>1418</v>
      </c>
      <c r="I170" s="4"/>
      <c r="J170" s="4" t="s">
        <v>1195</v>
      </c>
      <c r="K170" s="4" t="s">
        <v>1196</v>
      </c>
      <c r="L170" s="4" t="s">
        <v>1419</v>
      </c>
      <c r="M170" s="4"/>
      <c r="N170" s="4" t="s">
        <v>227</v>
      </c>
      <c r="O170" s="4"/>
    </row>
    <row r="171" customFormat="false" ht="15" hidden="false" customHeight="false" outlineLevel="0" collapsed="false">
      <c r="A171" s="4" t="s">
        <v>611</v>
      </c>
      <c r="B171" s="4" t="s">
        <v>1417</v>
      </c>
      <c r="C171" s="4" t="s">
        <v>155</v>
      </c>
      <c r="D171" s="4" t="s">
        <v>1386</v>
      </c>
      <c r="E171" s="4" t="s">
        <v>1276</v>
      </c>
      <c r="F171" s="4" t="s">
        <v>1358</v>
      </c>
      <c r="G171" s="4" t="s">
        <v>31</v>
      </c>
      <c r="H171" s="4" t="s">
        <v>1418</v>
      </c>
      <c r="I171" s="4"/>
      <c r="J171" s="4" t="s">
        <v>1198</v>
      </c>
      <c r="K171" s="4" t="s">
        <v>1199</v>
      </c>
      <c r="L171" s="4" t="s">
        <v>1420</v>
      </c>
      <c r="M171" s="4"/>
      <c r="N171" s="4" t="s">
        <v>214</v>
      </c>
      <c r="O171" s="4"/>
    </row>
    <row r="172" customFormat="false" ht="15" hidden="false" customHeight="false" outlineLevel="0" collapsed="false">
      <c r="A172" s="4" t="s">
        <v>611</v>
      </c>
      <c r="B172" s="4" t="s">
        <v>1417</v>
      </c>
      <c r="C172" s="4" t="s">
        <v>155</v>
      </c>
      <c r="D172" s="4" t="s">
        <v>1386</v>
      </c>
      <c r="E172" s="4" t="s">
        <v>1276</v>
      </c>
      <c r="F172" s="4" t="s">
        <v>1358</v>
      </c>
      <c r="G172" s="4" t="s">
        <v>31</v>
      </c>
      <c r="H172" s="4" t="s">
        <v>1418</v>
      </c>
      <c r="I172" s="4"/>
      <c r="J172" s="4" t="s">
        <v>1200</v>
      </c>
      <c r="K172" s="4" t="s">
        <v>1201</v>
      </c>
      <c r="L172" s="4" t="s">
        <v>1421</v>
      </c>
      <c r="M172" s="4"/>
      <c r="N172" s="4" t="s">
        <v>214</v>
      </c>
      <c r="O172" s="4"/>
    </row>
    <row r="173" customFormat="false" ht="15" hidden="false" customHeight="false" outlineLevel="0" collapsed="false">
      <c r="A173" s="4" t="s">
        <v>611</v>
      </c>
      <c r="B173" s="4" t="s">
        <v>1417</v>
      </c>
      <c r="C173" s="4" t="s">
        <v>155</v>
      </c>
      <c r="D173" s="4" t="s">
        <v>1386</v>
      </c>
      <c r="E173" s="4" t="s">
        <v>1276</v>
      </c>
      <c r="F173" s="4" t="s">
        <v>1358</v>
      </c>
      <c r="G173" s="4" t="s">
        <v>31</v>
      </c>
      <c r="H173" s="4" t="s">
        <v>1418</v>
      </c>
      <c r="I173" s="4"/>
      <c r="J173" s="4" t="s">
        <v>1202</v>
      </c>
      <c r="K173" s="4" t="s">
        <v>1203</v>
      </c>
      <c r="L173" s="4" t="s">
        <v>1309</v>
      </c>
      <c r="M173" s="4"/>
      <c r="N173" s="4" t="s">
        <v>227</v>
      </c>
      <c r="O173" s="4"/>
    </row>
    <row r="174" customFormat="false" ht="15" hidden="false" customHeight="false" outlineLevel="0" collapsed="false">
      <c r="A174" s="4" t="s">
        <v>611</v>
      </c>
      <c r="B174" s="4" t="s">
        <v>1417</v>
      </c>
      <c r="C174" s="4" t="s">
        <v>155</v>
      </c>
      <c r="D174" s="4" t="s">
        <v>1386</v>
      </c>
      <c r="E174" s="4" t="s">
        <v>1276</v>
      </c>
      <c r="F174" s="4" t="s">
        <v>1358</v>
      </c>
      <c r="G174" s="4" t="s">
        <v>31</v>
      </c>
      <c r="H174" s="4" t="s">
        <v>1418</v>
      </c>
      <c r="I174" s="4"/>
      <c r="J174" s="4" t="s">
        <v>699</v>
      </c>
      <c r="K174" s="4" t="s">
        <v>700</v>
      </c>
      <c r="L174" s="4" t="s">
        <v>31</v>
      </c>
      <c r="M174" s="4"/>
      <c r="N174" s="4" t="s">
        <v>227</v>
      </c>
      <c r="O174" s="4"/>
    </row>
    <row r="175" customFormat="false" ht="15" hidden="false" customHeight="false" outlineLevel="0" collapsed="false">
      <c r="A175" s="4" t="s">
        <v>611</v>
      </c>
      <c r="B175" s="4" t="s">
        <v>1417</v>
      </c>
      <c r="C175" s="4" t="s">
        <v>155</v>
      </c>
      <c r="D175" s="4" t="s">
        <v>1386</v>
      </c>
      <c r="E175" s="4" t="s">
        <v>1276</v>
      </c>
      <c r="F175" s="4" t="s">
        <v>1358</v>
      </c>
      <c r="G175" s="4" t="s">
        <v>31</v>
      </c>
      <c r="H175" s="4" t="s">
        <v>1418</v>
      </c>
      <c r="I175" s="4"/>
      <c r="J175" s="4" t="s">
        <v>1204</v>
      </c>
      <c r="K175" s="4" t="s">
        <v>1205</v>
      </c>
      <c r="L175" s="4" t="s">
        <v>34</v>
      </c>
      <c r="M175" s="4"/>
      <c r="N175" s="4" t="s">
        <v>227</v>
      </c>
      <c r="O175" s="4"/>
    </row>
    <row r="176" customFormat="false" ht="23.85" hidden="false" customHeight="false" outlineLevel="0" collapsed="false">
      <c r="A176" s="4" t="s">
        <v>604</v>
      </c>
      <c r="B176" s="4" t="s">
        <v>1422</v>
      </c>
      <c r="C176" s="4" t="s">
        <v>127</v>
      </c>
      <c r="D176" s="4"/>
      <c r="E176" s="4" t="s">
        <v>1276</v>
      </c>
      <c r="F176" s="4" t="s">
        <v>1423</v>
      </c>
      <c r="G176" s="4" t="s">
        <v>32</v>
      </c>
      <c r="H176" s="4" t="s">
        <v>1424</v>
      </c>
      <c r="I176" s="4"/>
      <c r="J176" s="4" t="s">
        <v>1116</v>
      </c>
      <c r="K176" s="4" t="s">
        <v>1117</v>
      </c>
      <c r="L176" s="4" t="s">
        <v>1425</v>
      </c>
      <c r="M176" s="4"/>
      <c r="N176" s="4" t="s">
        <v>227</v>
      </c>
      <c r="O176" s="4"/>
    </row>
    <row r="177" customFormat="false" ht="23.85" hidden="false" customHeight="false" outlineLevel="0" collapsed="false">
      <c r="A177" s="4" t="s">
        <v>604</v>
      </c>
      <c r="B177" s="4" t="s">
        <v>1422</v>
      </c>
      <c r="C177" s="4" t="s">
        <v>127</v>
      </c>
      <c r="D177" s="4"/>
      <c r="E177" s="4" t="s">
        <v>1276</v>
      </c>
      <c r="F177" s="4" t="s">
        <v>1423</v>
      </c>
      <c r="G177" s="4" t="s">
        <v>32</v>
      </c>
      <c r="H177" s="4" t="s">
        <v>1424</v>
      </c>
      <c r="I177" s="4"/>
      <c r="J177" s="4" t="s">
        <v>1120</v>
      </c>
      <c r="K177" s="4" t="s">
        <v>1121</v>
      </c>
      <c r="L177" s="4" t="s">
        <v>1425</v>
      </c>
      <c r="M177" s="4"/>
      <c r="N177" s="4" t="s">
        <v>227</v>
      </c>
      <c r="O177" s="4"/>
    </row>
    <row r="178" customFormat="false" ht="23.85" hidden="false" customHeight="false" outlineLevel="0" collapsed="false">
      <c r="A178" s="4" t="s">
        <v>604</v>
      </c>
      <c r="B178" s="4" t="s">
        <v>1422</v>
      </c>
      <c r="C178" s="4" t="s">
        <v>127</v>
      </c>
      <c r="D178" s="4"/>
      <c r="E178" s="4" t="s">
        <v>1276</v>
      </c>
      <c r="F178" s="4" t="s">
        <v>1423</v>
      </c>
      <c r="G178" s="4" t="s">
        <v>32</v>
      </c>
      <c r="H178" s="4" t="s">
        <v>1424</v>
      </c>
      <c r="I178" s="4"/>
      <c r="J178" s="4" t="s">
        <v>1123</v>
      </c>
      <c r="K178" s="4" t="s">
        <v>1124</v>
      </c>
      <c r="L178" s="4" t="s">
        <v>1425</v>
      </c>
      <c r="M178" s="4"/>
      <c r="N178" s="4" t="s">
        <v>227</v>
      </c>
      <c r="O178" s="4"/>
    </row>
    <row r="179" customFormat="false" ht="23.85" hidden="false" customHeight="false" outlineLevel="0" collapsed="false">
      <c r="A179" s="4" t="s">
        <v>604</v>
      </c>
      <c r="B179" s="4" t="s">
        <v>1422</v>
      </c>
      <c r="C179" s="4" t="s">
        <v>127</v>
      </c>
      <c r="D179" s="4"/>
      <c r="E179" s="4" t="s">
        <v>1276</v>
      </c>
      <c r="F179" s="4" t="s">
        <v>1423</v>
      </c>
      <c r="G179" s="4" t="s">
        <v>32</v>
      </c>
      <c r="H179" s="4" t="s">
        <v>1424</v>
      </c>
      <c r="I179" s="4"/>
      <c r="J179" s="4" t="s">
        <v>1126</v>
      </c>
      <c r="K179" s="4" t="s">
        <v>1127</v>
      </c>
      <c r="L179" s="4" t="s">
        <v>1425</v>
      </c>
      <c r="M179" s="4"/>
      <c r="N179" s="4" t="s">
        <v>227</v>
      </c>
      <c r="O179" s="4"/>
    </row>
    <row r="180" customFormat="false" ht="23.85" hidden="false" customHeight="false" outlineLevel="0" collapsed="false">
      <c r="A180" s="4" t="s">
        <v>604</v>
      </c>
      <c r="B180" s="4" t="s">
        <v>1422</v>
      </c>
      <c r="C180" s="4" t="s">
        <v>127</v>
      </c>
      <c r="D180" s="4"/>
      <c r="E180" s="4" t="s">
        <v>1276</v>
      </c>
      <c r="F180" s="4" t="s">
        <v>1423</v>
      </c>
      <c r="G180" s="4" t="s">
        <v>32</v>
      </c>
      <c r="H180" s="4" t="s">
        <v>1424</v>
      </c>
      <c r="I180" s="4"/>
      <c r="J180" s="4" t="s">
        <v>1136</v>
      </c>
      <c r="K180" s="4" t="s">
        <v>1137</v>
      </c>
      <c r="L180" s="4" t="s">
        <v>1425</v>
      </c>
      <c r="M180" s="4"/>
      <c r="N180" s="4" t="s">
        <v>227</v>
      </c>
      <c r="O180" s="4"/>
    </row>
    <row r="181" customFormat="false" ht="23.85" hidden="false" customHeight="false" outlineLevel="0" collapsed="false">
      <c r="A181" s="4" t="s">
        <v>604</v>
      </c>
      <c r="B181" s="4" t="s">
        <v>1422</v>
      </c>
      <c r="C181" s="4" t="s">
        <v>127</v>
      </c>
      <c r="D181" s="4"/>
      <c r="E181" s="4" t="s">
        <v>1276</v>
      </c>
      <c r="F181" s="4" t="s">
        <v>1423</v>
      </c>
      <c r="G181" s="4" t="s">
        <v>32</v>
      </c>
      <c r="H181" s="4" t="s">
        <v>1424</v>
      </c>
      <c r="I181" s="4"/>
      <c r="J181" s="4" t="s">
        <v>1138</v>
      </c>
      <c r="K181" s="4" t="s">
        <v>1139</v>
      </c>
      <c r="L181" s="4" t="s">
        <v>1425</v>
      </c>
      <c r="M181" s="4"/>
      <c r="N181" s="4" t="s">
        <v>227</v>
      </c>
      <c r="O181" s="4"/>
    </row>
    <row r="182" customFormat="false" ht="23.85" hidden="false" customHeight="false" outlineLevel="0" collapsed="false">
      <c r="A182" s="4" t="s">
        <v>604</v>
      </c>
      <c r="B182" s="4" t="s">
        <v>1422</v>
      </c>
      <c r="C182" s="4" t="s">
        <v>127</v>
      </c>
      <c r="D182" s="4"/>
      <c r="E182" s="4" t="s">
        <v>1276</v>
      </c>
      <c r="F182" s="4" t="s">
        <v>1423</v>
      </c>
      <c r="G182" s="4" t="s">
        <v>32</v>
      </c>
      <c r="H182" s="4" t="s">
        <v>1424</v>
      </c>
      <c r="I182" s="4"/>
      <c r="J182" s="4" t="s">
        <v>1053</v>
      </c>
      <c r="K182" s="4" t="s">
        <v>1140</v>
      </c>
      <c r="L182" s="4"/>
      <c r="M182" s="4"/>
      <c r="N182" s="4" t="s">
        <v>227</v>
      </c>
      <c r="O182" s="4"/>
    </row>
    <row r="183" customFormat="false" ht="23.85" hidden="false" customHeight="false" outlineLevel="0" collapsed="false">
      <c r="A183" s="4" t="s">
        <v>604</v>
      </c>
      <c r="B183" s="4" t="s">
        <v>1422</v>
      </c>
      <c r="C183" s="4" t="s">
        <v>127</v>
      </c>
      <c r="D183" s="4"/>
      <c r="E183" s="4" t="s">
        <v>1276</v>
      </c>
      <c r="F183" s="4" t="s">
        <v>1423</v>
      </c>
      <c r="G183" s="4" t="s">
        <v>32</v>
      </c>
      <c r="H183" s="4" t="s">
        <v>1424</v>
      </c>
      <c r="I183" s="4"/>
      <c r="J183" s="4" t="s">
        <v>1142</v>
      </c>
      <c r="K183" s="4" t="s">
        <v>1143</v>
      </c>
      <c r="L183" s="4" t="s">
        <v>1426</v>
      </c>
      <c r="M183" s="4"/>
      <c r="N183" s="4" t="s">
        <v>227</v>
      </c>
      <c r="O183" s="4"/>
    </row>
    <row r="184" customFormat="false" ht="23.85" hidden="false" customHeight="false" outlineLevel="0" collapsed="false">
      <c r="A184" s="4" t="s">
        <v>604</v>
      </c>
      <c r="B184" s="4" t="s">
        <v>1422</v>
      </c>
      <c r="C184" s="4" t="s">
        <v>127</v>
      </c>
      <c r="D184" s="4"/>
      <c r="E184" s="4" t="s">
        <v>1276</v>
      </c>
      <c r="F184" s="4" t="s">
        <v>1423</v>
      </c>
      <c r="G184" s="4" t="s">
        <v>32</v>
      </c>
      <c r="H184" s="4" t="s">
        <v>1424</v>
      </c>
      <c r="I184" s="4"/>
      <c r="J184" s="4" t="s">
        <v>699</v>
      </c>
      <c r="K184" s="4" t="s">
        <v>700</v>
      </c>
      <c r="L184" s="4" t="s">
        <v>32</v>
      </c>
      <c r="M184" s="4"/>
      <c r="N184" s="4" t="s">
        <v>227</v>
      </c>
      <c r="O184" s="4"/>
    </row>
    <row r="185" customFormat="false" ht="15" hidden="false" customHeight="false" outlineLevel="0" collapsed="false">
      <c r="A185" s="4" t="s">
        <v>87</v>
      </c>
      <c r="B185" s="4" t="s">
        <v>1427</v>
      </c>
      <c r="C185" s="4" t="s">
        <v>80</v>
      </c>
      <c r="D185" s="4" t="s">
        <v>1428</v>
      </c>
      <c r="E185" s="4" t="s">
        <v>1276</v>
      </c>
      <c r="F185" s="4" t="s">
        <v>1358</v>
      </c>
      <c r="G185" s="4" t="s">
        <v>31</v>
      </c>
      <c r="H185" s="4" t="s">
        <v>483</v>
      </c>
      <c r="I185" s="4"/>
      <c r="J185" s="4" t="s">
        <v>658</v>
      </c>
      <c r="K185" s="4" t="s">
        <v>659</v>
      </c>
      <c r="L185" s="4" t="s">
        <v>1429</v>
      </c>
      <c r="M185" s="4"/>
      <c r="N185" s="4" t="s">
        <v>214</v>
      </c>
      <c r="O185" s="4"/>
    </row>
    <row r="186" customFormat="false" ht="15" hidden="false" customHeight="false" outlineLevel="0" collapsed="false">
      <c r="A186" s="4" t="s">
        <v>87</v>
      </c>
      <c r="B186" s="4" t="s">
        <v>1427</v>
      </c>
      <c r="C186" s="4" t="s">
        <v>80</v>
      </c>
      <c r="D186" s="4" t="s">
        <v>1428</v>
      </c>
      <c r="E186" s="4" t="s">
        <v>1276</v>
      </c>
      <c r="F186" s="4" t="s">
        <v>1358</v>
      </c>
      <c r="G186" s="4" t="s">
        <v>31</v>
      </c>
      <c r="H186" s="4" t="s">
        <v>483</v>
      </c>
      <c r="I186" s="4"/>
      <c r="J186" s="4" t="s">
        <v>949</v>
      </c>
      <c r="K186" s="4" t="s">
        <v>950</v>
      </c>
      <c r="L186" s="4" t="s">
        <v>1428</v>
      </c>
      <c r="M186" s="4"/>
      <c r="N186" s="4" t="s">
        <v>630</v>
      </c>
      <c r="O186" s="4"/>
    </row>
    <row r="187" customFormat="false" ht="15" hidden="false" customHeight="false" outlineLevel="0" collapsed="false">
      <c r="A187" s="4" t="s">
        <v>87</v>
      </c>
      <c r="B187" s="4" t="s">
        <v>1427</v>
      </c>
      <c r="C187" s="4" t="s">
        <v>80</v>
      </c>
      <c r="D187" s="4" t="s">
        <v>1428</v>
      </c>
      <c r="E187" s="4" t="s">
        <v>1276</v>
      </c>
      <c r="F187" s="4" t="s">
        <v>1358</v>
      </c>
      <c r="G187" s="4" t="s">
        <v>31</v>
      </c>
      <c r="H187" s="4" t="s">
        <v>483</v>
      </c>
      <c r="I187" s="4"/>
      <c r="J187" s="4" t="s">
        <v>249</v>
      </c>
      <c r="K187" s="4" t="s">
        <v>250</v>
      </c>
      <c r="L187" s="4" t="s">
        <v>1430</v>
      </c>
      <c r="M187" s="4" t="s">
        <v>248</v>
      </c>
      <c r="N187" s="4" t="s">
        <v>185</v>
      </c>
      <c r="O187" s="4"/>
    </row>
    <row r="188" customFormat="false" ht="15" hidden="false" customHeight="false" outlineLevel="0" collapsed="false">
      <c r="A188" s="4" t="s">
        <v>87</v>
      </c>
      <c r="B188" s="4" t="s">
        <v>1427</v>
      </c>
      <c r="C188" s="4" t="s">
        <v>80</v>
      </c>
      <c r="D188" s="4" t="s">
        <v>1428</v>
      </c>
      <c r="E188" s="4" t="s">
        <v>1276</v>
      </c>
      <c r="F188" s="4" t="s">
        <v>1358</v>
      </c>
      <c r="G188" s="4" t="s">
        <v>31</v>
      </c>
      <c r="H188" s="4" t="s">
        <v>483</v>
      </c>
      <c r="I188" s="4"/>
      <c r="J188" s="4" t="s">
        <v>252</v>
      </c>
      <c r="K188" s="4" t="s">
        <v>253</v>
      </c>
      <c r="L188" s="4" t="s">
        <v>1431</v>
      </c>
      <c r="M188" s="4" t="s">
        <v>248</v>
      </c>
      <c r="N188" s="4" t="s">
        <v>185</v>
      </c>
      <c r="O188" s="4"/>
    </row>
    <row r="189" customFormat="false" ht="15" hidden="false" customHeight="false" outlineLevel="0" collapsed="false">
      <c r="A189" s="4" t="s">
        <v>87</v>
      </c>
      <c r="B189" s="4" t="s">
        <v>1427</v>
      </c>
      <c r="C189" s="4" t="s">
        <v>80</v>
      </c>
      <c r="D189" s="4" t="s">
        <v>1428</v>
      </c>
      <c r="E189" s="4" t="s">
        <v>1276</v>
      </c>
      <c r="F189" s="4" t="s">
        <v>1358</v>
      </c>
      <c r="G189" s="4" t="s">
        <v>31</v>
      </c>
      <c r="H189" s="4" t="s">
        <v>483</v>
      </c>
      <c r="I189" s="4"/>
      <c r="J189" s="4" t="s">
        <v>953</v>
      </c>
      <c r="K189" s="4" t="s">
        <v>954</v>
      </c>
      <c r="L189" s="4" t="s">
        <v>1432</v>
      </c>
      <c r="M189" s="4"/>
      <c r="N189" s="4" t="s">
        <v>214</v>
      </c>
      <c r="O189" s="4"/>
    </row>
    <row r="190" customFormat="false" ht="15" hidden="false" customHeight="false" outlineLevel="0" collapsed="false">
      <c r="A190" s="4" t="s">
        <v>87</v>
      </c>
      <c r="B190" s="4" t="s">
        <v>1427</v>
      </c>
      <c r="C190" s="4" t="s">
        <v>80</v>
      </c>
      <c r="D190" s="4" t="s">
        <v>1428</v>
      </c>
      <c r="E190" s="4" t="s">
        <v>1276</v>
      </c>
      <c r="F190" s="4" t="s">
        <v>1358</v>
      </c>
      <c r="G190" s="4" t="s">
        <v>31</v>
      </c>
      <c r="H190" s="4" t="s">
        <v>483</v>
      </c>
      <c r="I190" s="4"/>
      <c r="J190" s="4" t="s">
        <v>254</v>
      </c>
      <c r="K190" s="4" t="s">
        <v>255</v>
      </c>
      <c r="L190" s="4" t="s">
        <v>1433</v>
      </c>
      <c r="M190" s="4" t="s">
        <v>226</v>
      </c>
      <c r="N190" s="4" t="s">
        <v>185</v>
      </c>
      <c r="O190" s="4"/>
    </row>
    <row r="191" customFormat="false" ht="15" hidden="false" customHeight="false" outlineLevel="0" collapsed="false">
      <c r="A191" s="4" t="s">
        <v>87</v>
      </c>
      <c r="B191" s="4" t="s">
        <v>1427</v>
      </c>
      <c r="C191" s="4" t="s">
        <v>80</v>
      </c>
      <c r="D191" s="4" t="s">
        <v>1428</v>
      </c>
      <c r="E191" s="4" t="s">
        <v>1276</v>
      </c>
      <c r="F191" s="4" t="s">
        <v>1358</v>
      </c>
      <c r="G191" s="4" t="s">
        <v>31</v>
      </c>
      <c r="H191" s="4" t="s">
        <v>483</v>
      </c>
      <c r="I191" s="4"/>
      <c r="J191" s="4" t="s">
        <v>958</v>
      </c>
      <c r="K191" s="4" t="s">
        <v>959</v>
      </c>
      <c r="L191" s="4" t="s">
        <v>1434</v>
      </c>
      <c r="M191" s="4"/>
      <c r="N191" s="4" t="s">
        <v>227</v>
      </c>
      <c r="O191" s="4"/>
    </row>
    <row r="192" customFormat="false" ht="15" hidden="false" customHeight="false" outlineLevel="0" collapsed="false">
      <c r="A192" s="4" t="s">
        <v>87</v>
      </c>
      <c r="B192" s="4" t="s">
        <v>1427</v>
      </c>
      <c r="C192" s="4" t="s">
        <v>80</v>
      </c>
      <c r="D192" s="4" t="s">
        <v>1428</v>
      </c>
      <c r="E192" s="4" t="s">
        <v>1276</v>
      </c>
      <c r="F192" s="4" t="s">
        <v>1358</v>
      </c>
      <c r="G192" s="4" t="s">
        <v>31</v>
      </c>
      <c r="H192" s="4" t="s">
        <v>483</v>
      </c>
      <c r="I192" s="4"/>
      <c r="J192" s="4" t="s">
        <v>961</v>
      </c>
      <c r="K192" s="4" t="s">
        <v>962</v>
      </c>
      <c r="L192" s="4" t="s">
        <v>1337</v>
      </c>
      <c r="M192" s="4"/>
      <c r="N192" s="4" t="s">
        <v>227</v>
      </c>
      <c r="O192" s="4"/>
    </row>
    <row r="193" customFormat="false" ht="15" hidden="false" customHeight="false" outlineLevel="0" collapsed="false">
      <c r="A193" s="4" t="s">
        <v>87</v>
      </c>
      <c r="B193" s="4" t="s">
        <v>1427</v>
      </c>
      <c r="C193" s="4" t="s">
        <v>80</v>
      </c>
      <c r="D193" s="4" t="s">
        <v>1428</v>
      </c>
      <c r="E193" s="4" t="s">
        <v>1276</v>
      </c>
      <c r="F193" s="4" t="s">
        <v>1358</v>
      </c>
      <c r="G193" s="4" t="s">
        <v>31</v>
      </c>
      <c r="H193" s="4" t="s">
        <v>483</v>
      </c>
      <c r="I193" s="4"/>
      <c r="J193" s="4" t="s">
        <v>963</v>
      </c>
      <c r="K193" s="4" t="s">
        <v>964</v>
      </c>
      <c r="L193" s="4" t="s">
        <v>1435</v>
      </c>
      <c r="M193" s="4" t="s">
        <v>774</v>
      </c>
      <c r="N193" s="4" t="s">
        <v>185</v>
      </c>
      <c r="O193" s="4"/>
    </row>
    <row r="194" customFormat="false" ht="15" hidden="false" customHeight="false" outlineLevel="0" collapsed="false">
      <c r="A194" s="4" t="s">
        <v>87</v>
      </c>
      <c r="B194" s="4" t="s">
        <v>1427</v>
      </c>
      <c r="C194" s="4" t="s">
        <v>80</v>
      </c>
      <c r="D194" s="4" t="s">
        <v>1428</v>
      </c>
      <c r="E194" s="4" t="s">
        <v>1276</v>
      </c>
      <c r="F194" s="4" t="s">
        <v>1358</v>
      </c>
      <c r="G194" s="4" t="s">
        <v>31</v>
      </c>
      <c r="H194" s="4" t="s">
        <v>1436</v>
      </c>
      <c r="I194" s="4"/>
      <c r="J194" s="4" t="s">
        <v>256</v>
      </c>
      <c r="K194" s="4" t="s">
        <v>257</v>
      </c>
      <c r="L194" s="4" t="s">
        <v>1437</v>
      </c>
      <c r="M194" s="4" t="s">
        <v>184</v>
      </c>
      <c r="N194" s="4" t="s">
        <v>185</v>
      </c>
      <c r="O194" s="4"/>
    </row>
    <row r="195" customFormat="false" ht="15" hidden="false" customHeight="false" outlineLevel="0" collapsed="false">
      <c r="A195" s="4" t="s">
        <v>87</v>
      </c>
      <c r="B195" s="4" t="s">
        <v>1427</v>
      </c>
      <c r="C195" s="4" t="s">
        <v>80</v>
      </c>
      <c r="D195" s="4" t="s">
        <v>1428</v>
      </c>
      <c r="E195" s="4" t="s">
        <v>1276</v>
      </c>
      <c r="F195" s="4" t="s">
        <v>1358</v>
      </c>
      <c r="G195" s="4" t="s">
        <v>31</v>
      </c>
      <c r="H195" s="4" t="s">
        <v>1436</v>
      </c>
      <c r="I195" s="4"/>
      <c r="J195" s="4" t="s">
        <v>258</v>
      </c>
      <c r="K195" s="4" t="s">
        <v>969</v>
      </c>
      <c r="L195" s="4" t="s">
        <v>1438</v>
      </c>
      <c r="M195" s="4" t="s">
        <v>184</v>
      </c>
      <c r="N195" s="4" t="s">
        <v>185</v>
      </c>
      <c r="O195" s="4"/>
    </row>
    <row r="196" customFormat="false" ht="15" hidden="false" customHeight="false" outlineLevel="0" collapsed="false">
      <c r="A196" s="4" t="s">
        <v>87</v>
      </c>
      <c r="B196" s="4" t="s">
        <v>1427</v>
      </c>
      <c r="C196" s="4" t="s">
        <v>80</v>
      </c>
      <c r="D196" s="4" t="s">
        <v>1428</v>
      </c>
      <c r="E196" s="4" t="s">
        <v>1276</v>
      </c>
      <c r="F196" s="4" t="s">
        <v>1358</v>
      </c>
      <c r="G196" s="4" t="s">
        <v>31</v>
      </c>
      <c r="H196" s="4" t="s">
        <v>1436</v>
      </c>
      <c r="I196" s="4"/>
      <c r="J196" s="4" t="s">
        <v>971</v>
      </c>
      <c r="K196" s="4" t="s">
        <v>972</v>
      </c>
      <c r="L196" s="4" t="s">
        <v>1439</v>
      </c>
      <c r="M196" s="4" t="s">
        <v>774</v>
      </c>
      <c r="N196" s="4" t="s">
        <v>185</v>
      </c>
      <c r="O196" s="4"/>
    </row>
    <row r="197" customFormat="false" ht="15" hidden="false" customHeight="false" outlineLevel="0" collapsed="false">
      <c r="A197" s="4" t="s">
        <v>87</v>
      </c>
      <c r="B197" s="4" t="s">
        <v>1427</v>
      </c>
      <c r="C197" s="4" t="s">
        <v>80</v>
      </c>
      <c r="D197" s="4" t="s">
        <v>1428</v>
      </c>
      <c r="E197" s="4" t="s">
        <v>1276</v>
      </c>
      <c r="F197" s="4" t="s">
        <v>1358</v>
      </c>
      <c r="G197" s="4" t="s">
        <v>31</v>
      </c>
      <c r="H197" s="4" t="s">
        <v>1436</v>
      </c>
      <c r="I197" s="4"/>
      <c r="J197" s="4" t="s">
        <v>973</v>
      </c>
      <c r="K197" s="4" t="s">
        <v>974</v>
      </c>
      <c r="L197" s="4" t="s">
        <v>1440</v>
      </c>
      <c r="M197" s="4" t="s">
        <v>241</v>
      </c>
      <c r="N197" s="4" t="s">
        <v>227</v>
      </c>
      <c r="O197" s="4"/>
    </row>
    <row r="198" customFormat="false" ht="15" hidden="false" customHeight="false" outlineLevel="0" collapsed="false">
      <c r="A198" s="4" t="s">
        <v>87</v>
      </c>
      <c r="B198" s="4" t="s">
        <v>1427</v>
      </c>
      <c r="C198" s="4" t="s">
        <v>80</v>
      </c>
      <c r="D198" s="4" t="s">
        <v>1428</v>
      </c>
      <c r="E198" s="4" t="s">
        <v>1276</v>
      </c>
      <c r="F198" s="4" t="s">
        <v>1358</v>
      </c>
      <c r="G198" s="4" t="s">
        <v>31</v>
      </c>
      <c r="H198" s="4" t="s">
        <v>1436</v>
      </c>
      <c r="I198" s="4"/>
      <c r="J198" s="4" t="s">
        <v>975</v>
      </c>
      <c r="K198" s="4" t="s">
        <v>976</v>
      </c>
      <c r="L198" s="4" t="s">
        <v>1441</v>
      </c>
      <c r="M198" s="4" t="s">
        <v>241</v>
      </c>
      <c r="N198" s="4" t="s">
        <v>227</v>
      </c>
      <c r="O198" s="4"/>
    </row>
    <row r="199" customFormat="false" ht="15" hidden="false" customHeight="false" outlineLevel="0" collapsed="false">
      <c r="A199" s="4" t="s">
        <v>87</v>
      </c>
      <c r="B199" s="4" t="s">
        <v>1427</v>
      </c>
      <c r="C199" s="4" t="s">
        <v>80</v>
      </c>
      <c r="D199" s="4" t="s">
        <v>1428</v>
      </c>
      <c r="E199" s="4" t="s">
        <v>1276</v>
      </c>
      <c r="F199" s="4" t="s">
        <v>1358</v>
      </c>
      <c r="G199" s="4" t="s">
        <v>31</v>
      </c>
      <c r="H199" s="4" t="s">
        <v>1436</v>
      </c>
      <c r="I199" s="4"/>
      <c r="J199" s="4" t="s">
        <v>977</v>
      </c>
      <c r="K199" s="4" t="s">
        <v>978</v>
      </c>
      <c r="L199" s="4" t="s">
        <v>1442</v>
      </c>
      <c r="M199" s="4" t="s">
        <v>241</v>
      </c>
      <c r="N199" s="4" t="s">
        <v>227</v>
      </c>
      <c r="O199" s="4"/>
    </row>
    <row r="200" customFormat="false" ht="15" hidden="false" customHeight="false" outlineLevel="0" collapsed="false">
      <c r="A200" s="4" t="s">
        <v>87</v>
      </c>
      <c r="B200" s="4" t="s">
        <v>1427</v>
      </c>
      <c r="C200" s="4" t="s">
        <v>80</v>
      </c>
      <c r="D200" s="4" t="s">
        <v>1428</v>
      </c>
      <c r="E200" s="4" t="s">
        <v>1276</v>
      </c>
      <c r="F200" s="4" t="s">
        <v>1358</v>
      </c>
      <c r="G200" s="4" t="s">
        <v>31</v>
      </c>
      <c r="H200" s="4" t="s">
        <v>1436</v>
      </c>
      <c r="I200" s="4"/>
      <c r="J200" s="4" t="s">
        <v>699</v>
      </c>
      <c r="K200" s="4" t="s">
        <v>700</v>
      </c>
      <c r="L200" s="4" t="s">
        <v>32</v>
      </c>
      <c r="M200" s="4"/>
      <c r="N200" s="4" t="s">
        <v>227</v>
      </c>
      <c r="O200" s="4"/>
    </row>
    <row r="201" customFormat="false" ht="15" hidden="false" customHeight="false" outlineLevel="0" collapsed="false">
      <c r="A201" s="4" t="s">
        <v>115</v>
      </c>
      <c r="B201" s="4" t="s">
        <v>1443</v>
      </c>
      <c r="C201" s="4" t="s">
        <v>116</v>
      </c>
      <c r="D201" s="4" t="s">
        <v>1444</v>
      </c>
      <c r="E201" s="4" t="s">
        <v>1276</v>
      </c>
      <c r="F201" s="4" t="s">
        <v>1290</v>
      </c>
      <c r="G201" s="4" t="s">
        <v>31</v>
      </c>
      <c r="H201" s="4" t="s">
        <v>1445</v>
      </c>
      <c r="I201" s="4"/>
      <c r="J201" s="4" t="s">
        <v>1076</v>
      </c>
      <c r="K201" s="4" t="s">
        <v>1077</v>
      </c>
      <c r="L201" s="4" t="s">
        <v>1444</v>
      </c>
      <c r="M201" s="4"/>
      <c r="N201" s="4" t="s">
        <v>630</v>
      </c>
      <c r="O201" s="4"/>
    </row>
    <row r="202" customFormat="false" ht="15" hidden="false" customHeight="false" outlineLevel="0" collapsed="false">
      <c r="A202" s="4" t="s">
        <v>115</v>
      </c>
      <c r="B202" s="4" t="s">
        <v>1443</v>
      </c>
      <c r="C202" s="4" t="s">
        <v>116</v>
      </c>
      <c r="D202" s="4" t="s">
        <v>1444</v>
      </c>
      <c r="E202" s="4" t="s">
        <v>1276</v>
      </c>
      <c r="F202" s="4" t="s">
        <v>1290</v>
      </c>
      <c r="G202" s="4" t="s">
        <v>31</v>
      </c>
      <c r="H202" s="4" t="s">
        <v>1445</v>
      </c>
      <c r="I202" s="4"/>
      <c r="J202" s="4" t="s">
        <v>1026</v>
      </c>
      <c r="K202" s="4" t="s">
        <v>1079</v>
      </c>
      <c r="L202" s="4" t="s">
        <v>1446</v>
      </c>
      <c r="M202" s="4" t="s">
        <v>184</v>
      </c>
      <c r="N202" s="4" t="s">
        <v>185</v>
      </c>
      <c r="O202" s="4"/>
    </row>
    <row r="203" customFormat="false" ht="15" hidden="false" customHeight="false" outlineLevel="0" collapsed="false">
      <c r="A203" s="4" t="s">
        <v>115</v>
      </c>
      <c r="B203" s="4" t="s">
        <v>1443</v>
      </c>
      <c r="C203" s="4" t="s">
        <v>116</v>
      </c>
      <c r="D203" s="4" t="s">
        <v>1444</v>
      </c>
      <c r="E203" s="4" t="s">
        <v>1276</v>
      </c>
      <c r="F203" s="4" t="s">
        <v>1290</v>
      </c>
      <c r="G203" s="4" t="s">
        <v>31</v>
      </c>
      <c r="H203" s="4" t="s">
        <v>1445</v>
      </c>
      <c r="I203" s="4"/>
      <c r="J203" s="4" t="s">
        <v>1080</v>
      </c>
      <c r="K203" s="4" t="s">
        <v>1081</v>
      </c>
      <c r="L203" s="4" t="s">
        <v>1447</v>
      </c>
      <c r="M203" s="4" t="s">
        <v>191</v>
      </c>
      <c r="N203" s="4" t="s">
        <v>185</v>
      </c>
      <c r="O203" s="4"/>
    </row>
    <row r="204" customFormat="false" ht="15" hidden="false" customHeight="false" outlineLevel="0" collapsed="false">
      <c r="A204" s="4" t="s">
        <v>115</v>
      </c>
      <c r="B204" s="4" t="s">
        <v>1443</v>
      </c>
      <c r="C204" s="4" t="s">
        <v>116</v>
      </c>
      <c r="D204" s="4" t="s">
        <v>1444</v>
      </c>
      <c r="E204" s="4" t="s">
        <v>1276</v>
      </c>
      <c r="F204" s="4" t="s">
        <v>1290</v>
      </c>
      <c r="G204" s="4" t="s">
        <v>31</v>
      </c>
      <c r="H204" s="4" t="s">
        <v>1445</v>
      </c>
      <c r="I204" s="4"/>
      <c r="J204" s="4" t="s">
        <v>1029</v>
      </c>
      <c r="K204" s="4" t="s">
        <v>1030</v>
      </c>
      <c r="L204" s="4" t="s">
        <v>1448</v>
      </c>
      <c r="M204" s="4" t="s">
        <v>238</v>
      </c>
      <c r="N204" s="4" t="s">
        <v>214</v>
      </c>
      <c r="O204" s="4"/>
    </row>
    <row r="205" customFormat="false" ht="15" hidden="false" customHeight="false" outlineLevel="0" collapsed="false">
      <c r="A205" s="4" t="s">
        <v>115</v>
      </c>
      <c r="B205" s="4" t="s">
        <v>1443</v>
      </c>
      <c r="C205" s="4" t="s">
        <v>116</v>
      </c>
      <c r="D205" s="4" t="s">
        <v>1444</v>
      </c>
      <c r="E205" s="4" t="s">
        <v>1276</v>
      </c>
      <c r="F205" s="4" t="s">
        <v>1290</v>
      </c>
      <c r="G205" s="4" t="s">
        <v>31</v>
      </c>
      <c r="H205" s="4" t="s">
        <v>1445</v>
      </c>
      <c r="I205" s="4"/>
      <c r="J205" s="4" t="s">
        <v>1031</v>
      </c>
      <c r="K205" s="4" t="s">
        <v>1032</v>
      </c>
      <c r="L205" s="4" t="s">
        <v>1449</v>
      </c>
      <c r="M205" s="4" t="s">
        <v>241</v>
      </c>
      <c r="N205" s="4" t="s">
        <v>752</v>
      </c>
      <c r="O205" s="4"/>
    </row>
    <row r="206" customFormat="false" ht="15" hidden="false" customHeight="false" outlineLevel="0" collapsed="false">
      <c r="A206" s="4" t="s">
        <v>115</v>
      </c>
      <c r="B206" s="4" t="s">
        <v>1443</v>
      </c>
      <c r="C206" s="4" t="s">
        <v>116</v>
      </c>
      <c r="D206" s="4" t="s">
        <v>1444</v>
      </c>
      <c r="E206" s="4" t="s">
        <v>1276</v>
      </c>
      <c r="F206" s="4" t="s">
        <v>1290</v>
      </c>
      <c r="G206" s="4" t="s">
        <v>31</v>
      </c>
      <c r="H206" s="4" t="s">
        <v>1445</v>
      </c>
      <c r="I206" s="4"/>
      <c r="J206" s="4" t="s">
        <v>1083</v>
      </c>
      <c r="K206" s="4" t="s">
        <v>1084</v>
      </c>
      <c r="L206" s="4" t="s">
        <v>1450</v>
      </c>
      <c r="M206" s="4" t="s">
        <v>241</v>
      </c>
      <c r="N206" s="4" t="s">
        <v>752</v>
      </c>
      <c r="O206" s="4"/>
    </row>
    <row r="207" customFormat="false" ht="15" hidden="false" customHeight="false" outlineLevel="0" collapsed="false">
      <c r="A207" s="4" t="s">
        <v>115</v>
      </c>
      <c r="B207" s="4" t="s">
        <v>1443</v>
      </c>
      <c r="C207" s="4" t="s">
        <v>116</v>
      </c>
      <c r="D207" s="4" t="s">
        <v>1444</v>
      </c>
      <c r="E207" s="4" t="s">
        <v>1276</v>
      </c>
      <c r="F207" s="4" t="s">
        <v>1290</v>
      </c>
      <c r="G207" s="4" t="s">
        <v>31</v>
      </c>
      <c r="H207" s="4" t="s">
        <v>1445</v>
      </c>
      <c r="I207" s="4"/>
      <c r="J207" s="4" t="s">
        <v>1034</v>
      </c>
      <c r="K207" s="4" t="s">
        <v>1085</v>
      </c>
      <c r="L207" s="4" t="s">
        <v>1451</v>
      </c>
      <c r="M207" s="4" t="s">
        <v>706</v>
      </c>
      <c r="N207" s="4" t="s">
        <v>705</v>
      </c>
      <c r="O207" s="4"/>
    </row>
    <row r="208" customFormat="false" ht="15" hidden="false" customHeight="false" outlineLevel="0" collapsed="false">
      <c r="A208" s="4" t="s">
        <v>115</v>
      </c>
      <c r="B208" s="4" t="s">
        <v>1443</v>
      </c>
      <c r="C208" s="4" t="s">
        <v>116</v>
      </c>
      <c r="D208" s="4" t="s">
        <v>1444</v>
      </c>
      <c r="E208" s="4" t="s">
        <v>1276</v>
      </c>
      <c r="F208" s="4" t="s">
        <v>1290</v>
      </c>
      <c r="G208" s="4" t="s">
        <v>31</v>
      </c>
      <c r="H208" s="4" t="s">
        <v>1445</v>
      </c>
      <c r="I208" s="4"/>
      <c r="J208" s="4" t="s">
        <v>699</v>
      </c>
      <c r="K208" s="4" t="s">
        <v>700</v>
      </c>
      <c r="L208" s="4" t="s">
        <v>31</v>
      </c>
      <c r="M208" s="4"/>
      <c r="N208" s="4" t="s">
        <v>227</v>
      </c>
      <c r="O208" s="4"/>
    </row>
    <row r="209" customFormat="false" ht="15" hidden="false" customHeight="false" outlineLevel="0" collapsed="false">
      <c r="A209" s="4" t="s">
        <v>596</v>
      </c>
      <c r="B209" s="4" t="s">
        <v>1452</v>
      </c>
      <c r="C209" s="4" t="s">
        <v>104</v>
      </c>
      <c r="D209" s="4" t="s">
        <v>1453</v>
      </c>
      <c r="E209" s="4" t="s">
        <v>1276</v>
      </c>
      <c r="F209" s="4" t="s">
        <v>1423</v>
      </c>
      <c r="G209" s="4" t="s">
        <v>32</v>
      </c>
      <c r="H209" s="4" t="s">
        <v>1454</v>
      </c>
      <c r="I209" s="4"/>
      <c r="J209" s="4" t="s">
        <v>1037</v>
      </c>
      <c r="K209" s="4" t="s">
        <v>1038</v>
      </c>
      <c r="L209" s="4" t="s">
        <v>1455</v>
      </c>
      <c r="M209" s="4"/>
      <c r="N209" s="4" t="s">
        <v>227</v>
      </c>
      <c r="O209" s="4"/>
    </row>
    <row r="210" customFormat="false" ht="23.85" hidden="false" customHeight="false" outlineLevel="0" collapsed="false">
      <c r="A210" s="4" t="s">
        <v>596</v>
      </c>
      <c r="B210" s="4" t="s">
        <v>1452</v>
      </c>
      <c r="C210" s="4" t="s">
        <v>104</v>
      </c>
      <c r="D210" s="4" t="s">
        <v>1453</v>
      </c>
      <c r="E210" s="4" t="s">
        <v>1276</v>
      </c>
      <c r="F210" s="4" t="s">
        <v>1423</v>
      </c>
      <c r="G210" s="4" t="s">
        <v>32</v>
      </c>
      <c r="H210" s="4" t="s">
        <v>1454</v>
      </c>
      <c r="I210" s="4"/>
      <c r="J210" s="4" t="s">
        <v>1040</v>
      </c>
      <c r="K210" s="4" t="s">
        <v>1041</v>
      </c>
      <c r="L210" s="4" t="s">
        <v>1453</v>
      </c>
      <c r="M210" s="4"/>
      <c r="N210" s="4" t="s">
        <v>630</v>
      </c>
      <c r="O210" s="4"/>
    </row>
    <row r="211" customFormat="false" ht="15" hidden="false" customHeight="false" outlineLevel="0" collapsed="false">
      <c r="A211" s="4" t="s">
        <v>596</v>
      </c>
      <c r="B211" s="4" t="s">
        <v>1452</v>
      </c>
      <c r="C211" s="4" t="s">
        <v>104</v>
      </c>
      <c r="D211" s="4" t="s">
        <v>1453</v>
      </c>
      <c r="E211" s="4" t="s">
        <v>1276</v>
      </c>
      <c r="F211" s="4" t="s">
        <v>1423</v>
      </c>
      <c r="G211" s="4" t="s">
        <v>32</v>
      </c>
      <c r="H211" s="4" t="s">
        <v>1454</v>
      </c>
      <c r="I211" s="4"/>
      <c r="J211" s="4" t="s">
        <v>1042</v>
      </c>
      <c r="K211" s="4" t="s">
        <v>1043</v>
      </c>
      <c r="L211" s="4" t="s">
        <v>1456</v>
      </c>
      <c r="M211" s="4" t="s">
        <v>706</v>
      </c>
      <c r="N211" s="4" t="s">
        <v>705</v>
      </c>
      <c r="O211" s="4"/>
    </row>
    <row r="212" customFormat="false" ht="15" hidden="false" customHeight="false" outlineLevel="0" collapsed="false">
      <c r="A212" s="4" t="s">
        <v>596</v>
      </c>
      <c r="B212" s="4" t="s">
        <v>1452</v>
      </c>
      <c r="C212" s="4" t="s">
        <v>104</v>
      </c>
      <c r="D212" s="4" t="s">
        <v>1453</v>
      </c>
      <c r="E212" s="4" t="s">
        <v>1276</v>
      </c>
      <c r="F212" s="4" t="s">
        <v>1423</v>
      </c>
      <c r="G212" s="4" t="s">
        <v>32</v>
      </c>
      <c r="H212" s="4" t="s">
        <v>1454</v>
      </c>
      <c r="I212" s="4"/>
      <c r="J212" s="4" t="s">
        <v>1044</v>
      </c>
      <c r="K212" s="4" t="s">
        <v>1045</v>
      </c>
      <c r="L212" s="4" t="s">
        <v>1457</v>
      </c>
      <c r="M212" s="4" t="s">
        <v>706</v>
      </c>
      <c r="N212" s="4" t="s">
        <v>705</v>
      </c>
      <c r="O212" s="4"/>
    </row>
    <row r="213" customFormat="false" ht="15" hidden="false" customHeight="false" outlineLevel="0" collapsed="false">
      <c r="A213" s="4" t="s">
        <v>596</v>
      </c>
      <c r="B213" s="4" t="s">
        <v>1452</v>
      </c>
      <c r="C213" s="4" t="s">
        <v>104</v>
      </c>
      <c r="D213" s="4" t="s">
        <v>1453</v>
      </c>
      <c r="E213" s="4" t="s">
        <v>1276</v>
      </c>
      <c r="F213" s="4" t="s">
        <v>1423</v>
      </c>
      <c r="G213" s="4" t="s">
        <v>32</v>
      </c>
      <c r="H213" s="4" t="s">
        <v>1454</v>
      </c>
      <c r="I213" s="4"/>
      <c r="J213" s="4" t="s">
        <v>1046</v>
      </c>
      <c r="K213" s="4" t="s">
        <v>1047</v>
      </c>
      <c r="L213" s="4" t="s">
        <v>1458</v>
      </c>
      <c r="M213" s="4" t="s">
        <v>706</v>
      </c>
      <c r="N213" s="4" t="s">
        <v>214</v>
      </c>
      <c r="O213" s="4"/>
    </row>
    <row r="214" customFormat="false" ht="15" hidden="false" customHeight="false" outlineLevel="0" collapsed="false">
      <c r="A214" s="4" t="s">
        <v>596</v>
      </c>
      <c r="B214" s="4" t="s">
        <v>1452</v>
      </c>
      <c r="C214" s="4" t="s">
        <v>104</v>
      </c>
      <c r="D214" s="4" t="s">
        <v>1453</v>
      </c>
      <c r="E214" s="4" t="s">
        <v>1276</v>
      </c>
      <c r="F214" s="4" t="s">
        <v>1423</v>
      </c>
      <c r="G214" s="4" t="s">
        <v>32</v>
      </c>
      <c r="H214" s="4" t="s">
        <v>1454</v>
      </c>
      <c r="I214" s="4"/>
      <c r="J214" s="4" t="s">
        <v>1049</v>
      </c>
      <c r="K214" s="4" t="s">
        <v>1050</v>
      </c>
      <c r="L214" s="4" t="s">
        <v>1459</v>
      </c>
      <c r="M214" s="4"/>
      <c r="N214" s="4" t="s">
        <v>227</v>
      </c>
      <c r="O214" s="4"/>
    </row>
    <row r="215" customFormat="false" ht="23.85" hidden="false" customHeight="false" outlineLevel="0" collapsed="false">
      <c r="A215" s="4" t="s">
        <v>596</v>
      </c>
      <c r="B215" s="4" t="s">
        <v>1452</v>
      </c>
      <c r="C215" s="4" t="s">
        <v>104</v>
      </c>
      <c r="D215" s="4" t="s">
        <v>1453</v>
      </c>
      <c r="E215" s="4" t="s">
        <v>1276</v>
      </c>
      <c r="F215" s="4" t="s">
        <v>1423</v>
      </c>
      <c r="G215" s="4" t="s">
        <v>32</v>
      </c>
      <c r="H215" s="4" t="s">
        <v>1454</v>
      </c>
      <c r="I215" s="4"/>
      <c r="J215" s="4" t="s">
        <v>1051</v>
      </c>
      <c r="K215" s="4" t="s">
        <v>1052</v>
      </c>
      <c r="L215" s="4" t="s">
        <v>1309</v>
      </c>
      <c r="M215" s="4"/>
      <c r="N215" s="4" t="s">
        <v>227</v>
      </c>
      <c r="O215" s="4"/>
    </row>
    <row r="216" customFormat="false" ht="15" hidden="false" customHeight="false" outlineLevel="0" collapsed="false">
      <c r="A216" s="4" t="s">
        <v>596</v>
      </c>
      <c r="B216" s="4" t="s">
        <v>1452</v>
      </c>
      <c r="C216" s="4" t="s">
        <v>104</v>
      </c>
      <c r="D216" s="4" t="s">
        <v>1453</v>
      </c>
      <c r="E216" s="4" t="s">
        <v>1276</v>
      </c>
      <c r="F216" s="4" t="s">
        <v>1423</v>
      </c>
      <c r="G216" s="4" t="s">
        <v>32</v>
      </c>
      <c r="H216" s="4" t="s">
        <v>1454</v>
      </c>
      <c r="I216" s="4"/>
      <c r="J216" s="4" t="s">
        <v>1053</v>
      </c>
      <c r="K216" s="4" t="s">
        <v>1054</v>
      </c>
      <c r="L216" s="4"/>
      <c r="M216" s="4"/>
      <c r="N216" s="4" t="s">
        <v>227</v>
      </c>
      <c r="O216" s="4"/>
    </row>
    <row r="217" customFormat="false" ht="15" hidden="false" customHeight="false" outlineLevel="0" collapsed="false">
      <c r="A217" s="4" t="s">
        <v>596</v>
      </c>
      <c r="B217" s="4" t="s">
        <v>1452</v>
      </c>
      <c r="C217" s="4" t="s">
        <v>104</v>
      </c>
      <c r="D217" s="4" t="s">
        <v>1453</v>
      </c>
      <c r="E217" s="4" t="s">
        <v>1276</v>
      </c>
      <c r="F217" s="4" t="s">
        <v>1423</v>
      </c>
      <c r="G217" s="4" t="s">
        <v>32</v>
      </c>
      <c r="H217" s="4" t="s">
        <v>1454</v>
      </c>
      <c r="I217" s="4"/>
      <c r="J217" s="4" t="s">
        <v>699</v>
      </c>
      <c r="K217" s="4" t="s">
        <v>700</v>
      </c>
      <c r="L217" s="4" t="s">
        <v>32</v>
      </c>
      <c r="M217" s="4"/>
      <c r="N217" s="4" t="s">
        <v>227</v>
      </c>
      <c r="O217" s="4"/>
    </row>
    <row r="218" customFormat="false" ht="15" hidden="false" customHeight="false" outlineLevel="0" collapsed="false">
      <c r="A218" s="4" t="s">
        <v>609</v>
      </c>
      <c r="B218" s="4" t="s">
        <v>1460</v>
      </c>
      <c r="C218" s="4" t="s">
        <v>88</v>
      </c>
      <c r="D218" s="4"/>
      <c r="E218" s="4" t="s">
        <v>1276</v>
      </c>
      <c r="F218" s="4" t="s">
        <v>1423</v>
      </c>
      <c r="G218" s="4" t="s">
        <v>31</v>
      </c>
      <c r="H218" s="4" t="s">
        <v>1461</v>
      </c>
      <c r="I218" s="4"/>
      <c r="J218" s="4" t="s">
        <v>1166</v>
      </c>
      <c r="K218" s="4" t="s">
        <v>1167</v>
      </c>
      <c r="L218" s="4" t="s">
        <v>1462</v>
      </c>
      <c r="M218" s="4"/>
      <c r="N218" s="4" t="s">
        <v>214</v>
      </c>
      <c r="O218" s="4"/>
    </row>
    <row r="219" customFormat="false" ht="15" hidden="false" customHeight="false" outlineLevel="0" collapsed="false">
      <c r="A219" s="4" t="s">
        <v>609</v>
      </c>
      <c r="B219" s="4" t="s">
        <v>1460</v>
      </c>
      <c r="C219" s="4" t="s">
        <v>88</v>
      </c>
      <c r="D219" s="4"/>
      <c r="E219" s="4" t="s">
        <v>1276</v>
      </c>
      <c r="F219" s="4" t="s">
        <v>1423</v>
      </c>
      <c r="G219" s="4" t="s">
        <v>31</v>
      </c>
      <c r="H219" s="4" t="s">
        <v>1461</v>
      </c>
      <c r="I219" s="4"/>
      <c r="J219" s="4" t="s">
        <v>1168</v>
      </c>
      <c r="K219" s="4" t="s">
        <v>1169</v>
      </c>
      <c r="L219" s="4" t="s">
        <v>1463</v>
      </c>
      <c r="M219" s="4" t="s">
        <v>774</v>
      </c>
      <c r="N219" s="4" t="s">
        <v>227</v>
      </c>
      <c r="O219" s="4"/>
    </row>
    <row r="220" customFormat="false" ht="15" hidden="false" customHeight="false" outlineLevel="0" collapsed="false">
      <c r="A220" s="4" t="s">
        <v>609</v>
      </c>
      <c r="B220" s="4" t="s">
        <v>1460</v>
      </c>
      <c r="C220" s="4" t="s">
        <v>88</v>
      </c>
      <c r="D220" s="4"/>
      <c r="E220" s="4" t="s">
        <v>1276</v>
      </c>
      <c r="F220" s="4" t="s">
        <v>1423</v>
      </c>
      <c r="G220" s="4" t="s">
        <v>31</v>
      </c>
      <c r="H220" s="4" t="s">
        <v>1461</v>
      </c>
      <c r="I220" s="4"/>
      <c r="J220" s="4" t="s">
        <v>1170</v>
      </c>
      <c r="K220" s="4" t="s">
        <v>1171</v>
      </c>
      <c r="L220" s="4" t="s">
        <v>1284</v>
      </c>
      <c r="M220" s="4" t="s">
        <v>774</v>
      </c>
      <c r="N220" s="4" t="s">
        <v>630</v>
      </c>
      <c r="O220" s="4"/>
    </row>
    <row r="221" customFormat="false" ht="15" hidden="false" customHeight="false" outlineLevel="0" collapsed="false">
      <c r="A221" s="4" t="s">
        <v>609</v>
      </c>
      <c r="B221" s="4" t="s">
        <v>1460</v>
      </c>
      <c r="C221" s="4" t="s">
        <v>88</v>
      </c>
      <c r="D221" s="4"/>
      <c r="E221" s="4" t="s">
        <v>1276</v>
      </c>
      <c r="F221" s="4" t="s">
        <v>1423</v>
      </c>
      <c r="G221" s="4" t="s">
        <v>31</v>
      </c>
      <c r="H221" s="4" t="s">
        <v>1461</v>
      </c>
      <c r="I221" s="4"/>
      <c r="J221" s="4" t="s">
        <v>1173</v>
      </c>
      <c r="K221" s="4" t="s">
        <v>1174</v>
      </c>
      <c r="L221" s="4" t="s">
        <v>1464</v>
      </c>
      <c r="M221" s="4" t="s">
        <v>774</v>
      </c>
      <c r="N221" s="4" t="s">
        <v>185</v>
      </c>
      <c r="O221" s="4"/>
    </row>
    <row r="222" customFormat="false" ht="15" hidden="false" customHeight="false" outlineLevel="0" collapsed="false">
      <c r="A222" s="4" t="s">
        <v>609</v>
      </c>
      <c r="B222" s="4" t="s">
        <v>1460</v>
      </c>
      <c r="C222" s="4" t="s">
        <v>88</v>
      </c>
      <c r="D222" s="4"/>
      <c r="E222" s="4" t="s">
        <v>1276</v>
      </c>
      <c r="F222" s="4" t="s">
        <v>1423</v>
      </c>
      <c r="G222" s="4" t="s">
        <v>31</v>
      </c>
      <c r="H222" s="4" t="s">
        <v>1461</v>
      </c>
      <c r="I222" s="4"/>
      <c r="J222" s="4" t="s">
        <v>1175</v>
      </c>
      <c r="K222" s="4" t="s">
        <v>1176</v>
      </c>
      <c r="L222" s="4" t="s">
        <v>1465</v>
      </c>
      <c r="M222" s="4" t="s">
        <v>774</v>
      </c>
      <c r="N222" s="4" t="s">
        <v>185</v>
      </c>
      <c r="O222" s="4"/>
    </row>
    <row r="223" customFormat="false" ht="15" hidden="false" customHeight="false" outlineLevel="0" collapsed="false">
      <c r="A223" s="4" t="s">
        <v>609</v>
      </c>
      <c r="B223" s="4" t="s">
        <v>1460</v>
      </c>
      <c r="C223" s="4" t="s">
        <v>88</v>
      </c>
      <c r="D223" s="4"/>
      <c r="E223" s="4" t="s">
        <v>1276</v>
      </c>
      <c r="F223" s="4" t="s">
        <v>1423</v>
      </c>
      <c r="G223" s="4" t="s">
        <v>31</v>
      </c>
      <c r="H223" s="4" t="s">
        <v>1461</v>
      </c>
      <c r="I223" s="4"/>
      <c r="J223" s="4" t="s">
        <v>1177</v>
      </c>
      <c r="K223" s="4" t="s">
        <v>1178</v>
      </c>
      <c r="L223" s="4" t="s">
        <v>1438</v>
      </c>
      <c r="M223" s="4" t="s">
        <v>774</v>
      </c>
      <c r="N223" s="4" t="s">
        <v>227</v>
      </c>
      <c r="O223" s="4"/>
    </row>
    <row r="224" customFormat="false" ht="15" hidden="false" customHeight="false" outlineLevel="0" collapsed="false">
      <c r="A224" s="4" t="s">
        <v>609</v>
      </c>
      <c r="B224" s="4" t="s">
        <v>1460</v>
      </c>
      <c r="C224" s="4" t="s">
        <v>88</v>
      </c>
      <c r="D224" s="4"/>
      <c r="E224" s="4" t="s">
        <v>1276</v>
      </c>
      <c r="F224" s="4" t="s">
        <v>1423</v>
      </c>
      <c r="G224" s="4" t="s">
        <v>31</v>
      </c>
      <c r="H224" s="4" t="s">
        <v>1461</v>
      </c>
      <c r="I224" s="4"/>
      <c r="J224" s="4" t="s">
        <v>1179</v>
      </c>
      <c r="K224" s="4" t="s">
        <v>1180</v>
      </c>
      <c r="L224" s="4" t="s">
        <v>1466</v>
      </c>
      <c r="M224" s="4" t="s">
        <v>774</v>
      </c>
      <c r="N224" s="4" t="s">
        <v>227</v>
      </c>
      <c r="O224" s="4"/>
    </row>
    <row r="225" customFormat="false" ht="15" hidden="false" customHeight="false" outlineLevel="0" collapsed="false">
      <c r="A225" s="4" t="s">
        <v>609</v>
      </c>
      <c r="B225" s="4" t="s">
        <v>1460</v>
      </c>
      <c r="C225" s="4" t="s">
        <v>88</v>
      </c>
      <c r="D225" s="4"/>
      <c r="E225" s="4" t="s">
        <v>1276</v>
      </c>
      <c r="F225" s="4" t="s">
        <v>1423</v>
      </c>
      <c r="G225" s="4" t="s">
        <v>31</v>
      </c>
      <c r="H225" s="4" t="s">
        <v>1461</v>
      </c>
      <c r="I225" s="4"/>
      <c r="J225" s="4" t="s">
        <v>1181</v>
      </c>
      <c r="K225" s="4" t="s">
        <v>1182</v>
      </c>
      <c r="L225" s="4" t="s">
        <v>1467</v>
      </c>
      <c r="M225" s="4" t="s">
        <v>774</v>
      </c>
      <c r="N225" s="4" t="s">
        <v>214</v>
      </c>
      <c r="O225" s="4"/>
    </row>
    <row r="226" customFormat="false" ht="15" hidden="false" customHeight="false" outlineLevel="0" collapsed="false">
      <c r="A226" s="4" t="s">
        <v>609</v>
      </c>
      <c r="B226" s="4" t="s">
        <v>1460</v>
      </c>
      <c r="C226" s="4" t="s">
        <v>88</v>
      </c>
      <c r="D226" s="4"/>
      <c r="E226" s="4" t="s">
        <v>1276</v>
      </c>
      <c r="F226" s="4" t="s">
        <v>1423</v>
      </c>
      <c r="G226" s="4" t="s">
        <v>31</v>
      </c>
      <c r="H226" s="4" t="s">
        <v>1461</v>
      </c>
      <c r="I226" s="4"/>
      <c r="J226" s="4" t="s">
        <v>1184</v>
      </c>
      <c r="K226" s="4" t="s">
        <v>1185</v>
      </c>
      <c r="L226" s="4" t="s">
        <v>1468</v>
      </c>
      <c r="M226" s="4" t="s">
        <v>706</v>
      </c>
      <c r="N226" s="4" t="s">
        <v>214</v>
      </c>
      <c r="O226" s="4"/>
    </row>
    <row r="227" customFormat="false" ht="15" hidden="false" customHeight="false" outlineLevel="0" collapsed="false">
      <c r="A227" s="4" t="s">
        <v>609</v>
      </c>
      <c r="B227" s="4" t="s">
        <v>1460</v>
      </c>
      <c r="C227" s="4" t="s">
        <v>88</v>
      </c>
      <c r="D227" s="4"/>
      <c r="E227" s="4" t="s">
        <v>1276</v>
      </c>
      <c r="F227" s="4" t="s">
        <v>1423</v>
      </c>
      <c r="G227" s="4" t="s">
        <v>31</v>
      </c>
      <c r="H227" s="4" t="s">
        <v>1461</v>
      </c>
      <c r="I227" s="4"/>
      <c r="J227" s="4" t="s">
        <v>1186</v>
      </c>
      <c r="K227" s="4" t="s">
        <v>1187</v>
      </c>
      <c r="L227" s="4" t="s">
        <v>1469</v>
      </c>
      <c r="M227" s="4" t="s">
        <v>1188</v>
      </c>
      <c r="N227" s="4" t="s">
        <v>214</v>
      </c>
      <c r="O227" s="4" t="s">
        <v>1283</v>
      </c>
    </row>
    <row r="228" customFormat="false" ht="15" hidden="false" customHeight="false" outlineLevel="0" collapsed="false">
      <c r="A228" s="4" t="s">
        <v>609</v>
      </c>
      <c r="B228" s="4" t="s">
        <v>1460</v>
      </c>
      <c r="C228" s="4" t="s">
        <v>88</v>
      </c>
      <c r="D228" s="4"/>
      <c r="E228" s="4" t="s">
        <v>1276</v>
      </c>
      <c r="F228" s="4" t="s">
        <v>1423</v>
      </c>
      <c r="G228" s="4" t="s">
        <v>31</v>
      </c>
      <c r="H228" s="4" t="s">
        <v>1461</v>
      </c>
      <c r="I228" s="4"/>
      <c r="J228" s="4" t="s">
        <v>699</v>
      </c>
      <c r="K228" s="4" t="s">
        <v>700</v>
      </c>
      <c r="L228" s="4" t="s">
        <v>31</v>
      </c>
      <c r="M228" s="4"/>
      <c r="N228" s="4" t="s">
        <v>227</v>
      </c>
      <c r="O228" s="4"/>
    </row>
    <row r="229" customFormat="false" ht="15" hidden="false" customHeight="false" outlineLevel="0" collapsed="false">
      <c r="A229" s="4" t="s">
        <v>607</v>
      </c>
      <c r="B229" s="4" t="s">
        <v>1470</v>
      </c>
      <c r="C229" s="4" t="s">
        <v>74</v>
      </c>
      <c r="D229" s="4"/>
      <c r="E229" s="4" t="s">
        <v>1289</v>
      </c>
      <c r="F229" s="4" t="s">
        <v>1423</v>
      </c>
      <c r="G229" s="4" t="s">
        <v>39</v>
      </c>
      <c r="H229" s="4" t="s">
        <v>1471</v>
      </c>
      <c r="I229" s="4"/>
      <c r="J229" s="4" t="s">
        <v>1145</v>
      </c>
      <c r="K229" s="4" t="s">
        <v>1146</v>
      </c>
      <c r="L229" s="4" t="s">
        <v>1472</v>
      </c>
      <c r="M229" s="4"/>
      <c r="N229" s="4" t="s">
        <v>227</v>
      </c>
      <c r="O229" s="4"/>
    </row>
    <row r="230" customFormat="false" ht="15" hidden="false" customHeight="false" outlineLevel="0" collapsed="false">
      <c r="A230" s="4" t="s">
        <v>607</v>
      </c>
      <c r="B230" s="4" t="s">
        <v>1470</v>
      </c>
      <c r="C230" s="4" t="s">
        <v>74</v>
      </c>
      <c r="D230" s="4"/>
      <c r="E230" s="4" t="s">
        <v>1289</v>
      </c>
      <c r="F230" s="4" t="s">
        <v>1423</v>
      </c>
      <c r="G230" s="4" t="s">
        <v>39</v>
      </c>
      <c r="H230" s="4" t="s">
        <v>1471</v>
      </c>
      <c r="I230" s="4"/>
      <c r="J230" s="4" t="s">
        <v>636</v>
      </c>
      <c r="K230" s="4" t="s">
        <v>1147</v>
      </c>
      <c r="L230" s="4" t="s">
        <v>74</v>
      </c>
      <c r="M230" s="4"/>
      <c r="N230" s="4" t="s">
        <v>227</v>
      </c>
      <c r="O230" s="4"/>
    </row>
    <row r="231" customFormat="false" ht="15" hidden="false" customHeight="false" outlineLevel="0" collapsed="false">
      <c r="A231" s="4" t="s">
        <v>607</v>
      </c>
      <c r="B231" s="4" t="s">
        <v>1470</v>
      </c>
      <c r="C231" s="4" t="s">
        <v>74</v>
      </c>
      <c r="D231" s="4"/>
      <c r="E231" s="4" t="s">
        <v>1289</v>
      </c>
      <c r="F231" s="4" t="s">
        <v>1423</v>
      </c>
      <c r="G231" s="4" t="s">
        <v>39</v>
      </c>
      <c r="H231" s="4" t="s">
        <v>1471</v>
      </c>
      <c r="I231" s="4"/>
      <c r="J231" s="4" t="s">
        <v>1148</v>
      </c>
      <c r="K231" s="4" t="s">
        <v>1149</v>
      </c>
      <c r="L231" s="4" t="s">
        <v>1473</v>
      </c>
      <c r="M231" s="4"/>
      <c r="N231" s="4" t="s">
        <v>227</v>
      </c>
      <c r="O231" s="4"/>
    </row>
    <row r="232" customFormat="false" ht="15" hidden="false" customHeight="false" outlineLevel="0" collapsed="false">
      <c r="A232" s="4" t="s">
        <v>607</v>
      </c>
      <c r="B232" s="4" t="s">
        <v>1470</v>
      </c>
      <c r="C232" s="4" t="s">
        <v>74</v>
      </c>
      <c r="D232" s="4"/>
      <c r="E232" s="4" t="s">
        <v>1289</v>
      </c>
      <c r="F232" s="4" t="s">
        <v>1423</v>
      </c>
      <c r="G232" s="4" t="s">
        <v>39</v>
      </c>
      <c r="H232" s="4" t="s">
        <v>1471</v>
      </c>
      <c r="I232" s="4"/>
      <c r="J232" s="4" t="s">
        <v>1150</v>
      </c>
      <c r="K232" s="4" t="s">
        <v>1151</v>
      </c>
      <c r="L232" s="4" t="s">
        <v>1474</v>
      </c>
      <c r="M232" s="4"/>
      <c r="N232" s="4" t="s">
        <v>227</v>
      </c>
      <c r="O232" s="4"/>
    </row>
    <row r="233" customFormat="false" ht="15" hidden="false" customHeight="false" outlineLevel="0" collapsed="false">
      <c r="A233" s="4" t="s">
        <v>607</v>
      </c>
      <c r="B233" s="4" t="s">
        <v>1470</v>
      </c>
      <c r="C233" s="4" t="s">
        <v>74</v>
      </c>
      <c r="D233" s="4"/>
      <c r="E233" s="4" t="s">
        <v>1289</v>
      </c>
      <c r="F233" s="4" t="s">
        <v>1423</v>
      </c>
      <c r="G233" s="4" t="s">
        <v>39</v>
      </c>
      <c r="H233" s="4" t="s">
        <v>1471</v>
      </c>
      <c r="I233" s="4"/>
      <c r="J233" s="4" t="s">
        <v>1152</v>
      </c>
      <c r="K233" s="4" t="s">
        <v>1153</v>
      </c>
      <c r="L233" s="4" t="s">
        <v>1475</v>
      </c>
      <c r="M233" s="4"/>
      <c r="N233" s="4" t="s">
        <v>227</v>
      </c>
      <c r="O233" s="4"/>
    </row>
    <row r="234" customFormat="false" ht="15" hidden="false" customHeight="false" outlineLevel="0" collapsed="false">
      <c r="A234" s="4" t="s">
        <v>607</v>
      </c>
      <c r="B234" s="4" t="s">
        <v>1470</v>
      </c>
      <c r="C234" s="4" t="s">
        <v>74</v>
      </c>
      <c r="D234" s="4"/>
      <c r="E234" s="4" t="s">
        <v>1289</v>
      </c>
      <c r="F234" s="4" t="s">
        <v>1423</v>
      </c>
      <c r="G234" s="4" t="s">
        <v>39</v>
      </c>
      <c r="H234" s="4" t="s">
        <v>1471</v>
      </c>
      <c r="I234" s="4"/>
      <c r="J234" s="4" t="s">
        <v>1154</v>
      </c>
      <c r="K234" s="4" t="s">
        <v>1155</v>
      </c>
      <c r="L234" s="4" t="s">
        <v>1475</v>
      </c>
      <c r="M234" s="4"/>
      <c r="N234" s="4" t="s">
        <v>227</v>
      </c>
      <c r="O234" s="4"/>
    </row>
    <row r="235" customFormat="false" ht="15" hidden="false" customHeight="false" outlineLevel="0" collapsed="false">
      <c r="A235" s="4" t="s">
        <v>607</v>
      </c>
      <c r="B235" s="4" t="s">
        <v>1470</v>
      </c>
      <c r="C235" s="4" t="s">
        <v>74</v>
      </c>
      <c r="D235" s="4"/>
      <c r="E235" s="4" t="s">
        <v>1289</v>
      </c>
      <c r="F235" s="4" t="s">
        <v>1423</v>
      </c>
      <c r="G235" s="4" t="s">
        <v>39</v>
      </c>
      <c r="H235" s="4" t="s">
        <v>1471</v>
      </c>
      <c r="I235" s="4"/>
      <c r="J235" s="4" t="s">
        <v>1156</v>
      </c>
      <c r="K235" s="4" t="s">
        <v>1157</v>
      </c>
      <c r="L235" s="4" t="s">
        <v>1476</v>
      </c>
      <c r="M235" s="4"/>
      <c r="N235" s="4" t="s">
        <v>227</v>
      </c>
      <c r="O235" s="4"/>
    </row>
    <row r="236" customFormat="false" ht="15" hidden="false" customHeight="false" outlineLevel="0" collapsed="false">
      <c r="A236" s="4" t="s">
        <v>607</v>
      </c>
      <c r="B236" s="4" t="s">
        <v>1470</v>
      </c>
      <c r="C236" s="4" t="s">
        <v>74</v>
      </c>
      <c r="D236" s="4"/>
      <c r="E236" s="4" t="s">
        <v>1289</v>
      </c>
      <c r="F236" s="4" t="s">
        <v>1423</v>
      </c>
      <c r="G236" s="4" t="s">
        <v>39</v>
      </c>
      <c r="H236" s="4" t="s">
        <v>1471</v>
      </c>
      <c r="I236" s="4"/>
      <c r="J236" s="4" t="s">
        <v>1158</v>
      </c>
      <c r="K236" s="4" t="s">
        <v>1159</v>
      </c>
      <c r="L236" s="4" t="s">
        <v>1425</v>
      </c>
      <c r="M236" s="4"/>
      <c r="N236" s="4" t="s">
        <v>214</v>
      </c>
      <c r="O236" s="4"/>
    </row>
    <row r="237" customFormat="false" ht="15" hidden="false" customHeight="false" outlineLevel="0" collapsed="false">
      <c r="A237" s="4" t="s">
        <v>607</v>
      </c>
      <c r="B237" s="4" t="s">
        <v>1470</v>
      </c>
      <c r="C237" s="4" t="s">
        <v>74</v>
      </c>
      <c r="D237" s="4"/>
      <c r="E237" s="4" t="s">
        <v>1289</v>
      </c>
      <c r="F237" s="4" t="s">
        <v>1423</v>
      </c>
      <c r="G237" s="4" t="s">
        <v>39</v>
      </c>
      <c r="H237" s="4" t="s">
        <v>1471</v>
      </c>
      <c r="I237" s="4"/>
      <c r="J237" s="4" t="s">
        <v>1161</v>
      </c>
      <c r="K237" s="4" t="s">
        <v>1162</v>
      </c>
      <c r="L237" s="4" t="s">
        <v>1477</v>
      </c>
      <c r="M237" s="4"/>
      <c r="N237" s="4" t="s">
        <v>214</v>
      </c>
      <c r="O237" s="4"/>
    </row>
    <row r="238" customFormat="false" ht="15" hidden="false" customHeight="false" outlineLevel="0" collapsed="false">
      <c r="A238" s="4" t="s">
        <v>607</v>
      </c>
      <c r="B238" s="4" t="s">
        <v>1470</v>
      </c>
      <c r="C238" s="4" t="s">
        <v>74</v>
      </c>
      <c r="D238" s="4"/>
      <c r="E238" s="4" t="s">
        <v>1289</v>
      </c>
      <c r="F238" s="4" t="s">
        <v>1423</v>
      </c>
      <c r="G238" s="4" t="s">
        <v>39</v>
      </c>
      <c r="H238" s="4" t="s">
        <v>1471</v>
      </c>
      <c r="I238" s="4"/>
      <c r="J238" s="4" t="s">
        <v>1163</v>
      </c>
      <c r="K238" s="4" t="s">
        <v>1164</v>
      </c>
      <c r="L238" s="4" t="s">
        <v>39</v>
      </c>
      <c r="M238" s="4"/>
      <c r="N238" s="4" t="s">
        <v>227</v>
      </c>
      <c r="O23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2026-09-22T12:36:53Z</dcterms:created>
  <dc:creator>openpyxl</dc:creator>
  <dc:description/>
  <dc:language>en-US</dc:language>
  <cp:lastModifiedBy/>
  <dcterms:modified xsi:type="dcterms:W3CDTF">2026-09-22T12:36:54Z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